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k-ksu\Min enhet\Dokument\_excel\"/>
    </mc:Choice>
  </mc:AlternateContent>
  <xr:revisionPtr revIDLastSave="0" documentId="13_ncr:1_{AF85B6BE-0617-441F-9816-4A117F34007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9" sheetId="1" r:id="rId1"/>
    <sheet name="10" sheetId="2" r:id="rId2"/>
    <sheet name="11" sheetId="3" r:id="rId3"/>
    <sheet name="12-13" sheetId="4" r:id="rId4"/>
    <sheet name="Diagram1" sheetId="7" r:id="rId5"/>
    <sheet name="Danslista" sheetId="5" r:id="rId6"/>
    <sheet name="Karaoke" sheetId="6" r:id="rId7"/>
    <sheet name="Englas schema" sheetId="8" r:id="rId8"/>
    <sheet name="Blad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5" l="1"/>
  <c r="F21" i="5"/>
  <c r="F19" i="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3" i="9"/>
  <c r="C16" i="9" l="1" a="1"/>
  <c r="C16" i="9" s="1"/>
  <c r="C18" i="9" a="1"/>
  <c r="C18" i="9" s="1"/>
  <c r="C10" i="9" a="1"/>
  <c r="C10" i="9" s="1"/>
  <c r="C19" i="9" a="1"/>
  <c r="C19" i="9" s="1"/>
  <c r="C8" i="9" a="1"/>
  <c r="C8" i="9" s="1"/>
  <c r="C5" i="9" a="1"/>
  <c r="C5" i="9" s="1"/>
  <c r="C11" i="9" a="1"/>
  <c r="C11" i="9" s="1"/>
  <c r="C14" i="9" a="1"/>
  <c r="C14" i="9" s="1"/>
  <c r="C12" i="9" a="1"/>
  <c r="C12" i="9" s="1"/>
  <c r="C4" i="9" a="1"/>
  <c r="C4" i="9" s="1"/>
  <c r="C17" i="9" a="1"/>
  <c r="C17" i="9" s="1"/>
  <c r="C13" i="9" a="1"/>
  <c r="C13" i="9" s="1"/>
  <c r="C15" i="9" a="1"/>
  <c r="C15" i="9" s="1"/>
  <c r="C7" i="9" a="1"/>
  <c r="C7" i="9" s="1"/>
  <c r="C6" i="9" a="1"/>
  <c r="C6" i="9" s="1"/>
  <c r="C9" i="9" a="1"/>
  <c r="C9" i="9" s="1"/>
  <c r="C3" i="9" a="1"/>
  <c r="C3" i="9" s="1"/>
  <c r="B4" i="5"/>
  <c r="F5" i="5"/>
  <c r="F6" i="5"/>
  <c r="F7" i="5"/>
  <c r="F8" i="5"/>
  <c r="F9" i="5"/>
  <c r="F10" i="5"/>
  <c r="F11" i="5"/>
  <c r="F12" i="5"/>
  <c r="F13" i="5"/>
  <c r="D5" i="5"/>
  <c r="D6" i="5"/>
  <c r="D7" i="5"/>
  <c r="D8" i="5"/>
  <c r="D9" i="5"/>
  <c r="D10" i="5"/>
  <c r="D11" i="5"/>
  <c r="D12" i="5"/>
  <c r="D13" i="5"/>
  <c r="D14" i="5"/>
  <c r="D16" i="5"/>
  <c r="D17" i="5"/>
  <c r="D18" i="5"/>
  <c r="D19" i="5"/>
  <c r="D20" i="5"/>
  <c r="D21" i="5"/>
  <c r="D22" i="5"/>
  <c r="D23" i="5"/>
  <c r="D24" i="5"/>
  <c r="D25" i="5"/>
  <c r="D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L18" i="8"/>
  <c r="E16" i="8"/>
  <c r="E15" i="8"/>
  <c r="E14" i="8"/>
  <c r="E13" i="8"/>
  <c r="E12" i="8"/>
  <c r="H11" i="8"/>
  <c r="E11" i="8"/>
  <c r="H10" i="8"/>
  <c r="E10" i="8"/>
  <c r="H9" i="8"/>
  <c r="E9" i="8"/>
  <c r="H8" i="8"/>
  <c r="E8" i="8"/>
  <c r="H7" i="8"/>
  <c r="E7" i="8"/>
  <c r="H6" i="8"/>
  <c r="E6" i="8"/>
  <c r="N5" i="8"/>
  <c r="K5" i="8"/>
  <c r="H5" i="8"/>
  <c r="E5" i="8"/>
  <c r="N4" i="8"/>
  <c r="K4" i="8"/>
  <c r="H4" i="8"/>
  <c r="E4" i="8"/>
  <c r="F18" i="6"/>
  <c r="F16" i="6"/>
  <c r="F15" i="6"/>
  <c r="K8" i="6"/>
  <c r="H6" i="6"/>
  <c r="F28" i="5"/>
  <c r="H8" i="5"/>
  <c r="H7" i="5"/>
  <c r="H6" i="5"/>
  <c r="H5" i="5"/>
  <c r="H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<sst xmlns="http://schemas.openxmlformats.org/spreadsheetml/2006/main" count="371" uniqueCount="333">
  <si>
    <t>Psalm Pilot</t>
  </si>
  <si>
    <t>Jason Creasey</t>
  </si>
  <si>
    <t>Tricky Disco</t>
  </si>
  <si>
    <t>Da Roots</t>
  </si>
  <si>
    <t>Mind Reflection</t>
  </si>
  <si>
    <t>Coming out</t>
  </si>
  <si>
    <t>Playmaker feat Robin</t>
  </si>
  <si>
    <t>Boogie Down</t>
  </si>
  <si>
    <t>Inurvise</t>
  </si>
  <si>
    <t>Tribal Style</t>
  </si>
  <si>
    <t>Romeo &amp; Juliet</t>
  </si>
  <si>
    <t>Save the last dance for me</t>
  </si>
  <si>
    <t>Birdie</t>
  </si>
  <si>
    <t>Licky licky</t>
  </si>
  <si>
    <t>Remember december</t>
  </si>
  <si>
    <t>Message</t>
  </si>
  <si>
    <t>NiNi</t>
  </si>
  <si>
    <t>Pandemonium</t>
  </si>
  <si>
    <t>Solina</t>
  </si>
  <si>
    <t>Kagami</t>
  </si>
  <si>
    <t>Typical tropical</t>
  </si>
  <si>
    <t>Crazy</t>
  </si>
  <si>
    <t>Dj Doo</t>
  </si>
  <si>
    <t>Calendar Girl</t>
  </si>
  <si>
    <t>Hybrid</t>
  </si>
  <si>
    <t>Machinae Supremacy</t>
  </si>
  <si>
    <t>Ize Pie</t>
  </si>
  <si>
    <t>Dr Doolittle</t>
  </si>
  <si>
    <t>Bambee</t>
  </si>
  <si>
    <t>The Game</t>
  </si>
  <si>
    <t>Crispy</t>
  </si>
  <si>
    <t>Hip Hop Jam</t>
  </si>
  <si>
    <t>16th stamina test</t>
  </si>
  <si>
    <t>My Favourite game</t>
  </si>
  <si>
    <t>Tetris</t>
  </si>
  <si>
    <t>Lemmings on the run</t>
  </si>
  <si>
    <t>This is rockn roll</t>
  </si>
  <si>
    <t>Get Up</t>
  </si>
  <si>
    <t>Wanna do</t>
  </si>
  <si>
    <t>Bells of avalon</t>
  </si>
  <si>
    <t>We know what to do</t>
  </si>
  <si>
    <t>Fly away</t>
  </si>
  <si>
    <t>No princess</t>
  </si>
  <si>
    <t>Lynn</t>
  </si>
  <si>
    <t>Little kitty mine</t>
  </si>
  <si>
    <t>TechLo</t>
  </si>
  <si>
    <t>Bubble Dancer</t>
  </si>
  <si>
    <t>Journey</t>
  </si>
  <si>
    <t>Kiss me</t>
  </si>
  <si>
    <t>Wham bam boogie</t>
  </si>
  <si>
    <t>Charlene</t>
  </si>
  <si>
    <t>Kiss me red</t>
  </si>
  <si>
    <t>Burning me up</t>
  </si>
  <si>
    <t>The deep unknown</t>
  </si>
  <si>
    <t>Tough enough</t>
  </si>
  <si>
    <t>Life of a butterfly</t>
  </si>
  <si>
    <t>How do you do</t>
  </si>
  <si>
    <t>Progression</t>
  </si>
  <si>
    <t>Temple of boom</t>
  </si>
  <si>
    <t>Bing Bang</t>
  </si>
  <si>
    <t>Cryosleep</t>
  </si>
  <si>
    <t>Dance all night</t>
  </si>
  <si>
    <t>Putting on the ritz</t>
  </si>
  <si>
    <t>Land of the rising sun</t>
  </si>
  <si>
    <t>Partyman</t>
  </si>
  <si>
    <t>Spacy crazy girl</t>
  </si>
  <si>
    <t>sugar sweet</t>
  </si>
  <si>
    <t>Fleadh Uncut</t>
  </si>
  <si>
    <t>Online</t>
  </si>
  <si>
    <t>Spaceman</t>
  </si>
  <si>
    <t>Fly with me</t>
  </si>
  <si>
    <t>Mythology</t>
  </si>
  <si>
    <t>Nights in heaven</t>
  </si>
  <si>
    <t>Land of imagination</t>
  </si>
  <si>
    <t>Sweet world</t>
  </si>
  <si>
    <t>DotA</t>
  </si>
  <si>
    <t>Hand of time</t>
  </si>
  <si>
    <t>Popcorn</t>
  </si>
  <si>
    <t>Shooting star</t>
  </si>
  <si>
    <t>Bumble bee</t>
  </si>
  <si>
    <t>Take my time</t>
  </si>
  <si>
    <t>Why me</t>
  </si>
  <si>
    <t>Living without you</t>
  </si>
  <si>
    <t>Bouff</t>
  </si>
  <si>
    <t>Drifting away</t>
  </si>
  <si>
    <t>Mr Saxobeat</t>
  </si>
  <si>
    <t>DJ Superstar</t>
  </si>
  <si>
    <t>Tears in May</t>
  </si>
  <si>
    <t>Dawn perpetual mix</t>
  </si>
  <si>
    <t>Xepher</t>
  </si>
  <si>
    <t>Y1</t>
  </si>
  <si>
    <t>Into my dream</t>
  </si>
  <si>
    <t>Dance vibrations</t>
  </si>
  <si>
    <t>Touch me</t>
  </si>
  <si>
    <t>My life is so crazy</t>
  </si>
  <si>
    <t>You are my dream</t>
  </si>
  <si>
    <t>Hispanic panic</t>
  </si>
  <si>
    <t>The last kiss</t>
  </si>
  <si>
    <t>Get away</t>
  </si>
  <si>
    <t>Uhn Tiss</t>
  </si>
  <si>
    <t>Eisberg</t>
  </si>
  <si>
    <t>Temple of love</t>
  </si>
  <si>
    <t>Charlene Rock mix</t>
  </si>
  <si>
    <t>Holy Guacamole</t>
  </si>
  <si>
    <t>Popular</t>
  </si>
  <si>
    <t>Calcutta</t>
  </si>
  <si>
    <t>How much is the fish</t>
  </si>
  <si>
    <t>Joy to the world</t>
  </si>
  <si>
    <t>Dr Jones</t>
  </si>
  <si>
    <t>I wanna be wild</t>
  </si>
  <si>
    <t>Riders, Unite</t>
  </si>
  <si>
    <t>Venetian spirit</t>
  </si>
  <si>
    <t>1001 Arabian Nights</t>
  </si>
  <si>
    <t>Summer in Belize</t>
  </si>
  <si>
    <t>Turn Away</t>
  </si>
  <si>
    <t>Obelisk</t>
  </si>
  <si>
    <t>Resurrection</t>
  </si>
  <si>
    <t>Abracadabra</t>
  </si>
  <si>
    <t>Children</t>
  </si>
  <si>
    <t>Rockin</t>
  </si>
  <si>
    <t>Beware the forest mushrooms</t>
  </si>
  <si>
    <t>Angels crying</t>
  </si>
  <si>
    <t>En mon coeur</t>
  </si>
  <si>
    <t>King Kong</t>
  </si>
  <si>
    <t>Kalinka</t>
  </si>
  <si>
    <t>Fly with you</t>
  </si>
  <si>
    <t>Omnibus</t>
  </si>
  <si>
    <t>Johanna shut up</t>
  </si>
  <si>
    <t>Run with us</t>
  </si>
  <si>
    <t>Lover on the line</t>
  </si>
  <si>
    <t>Stunt flying</t>
  </si>
  <si>
    <t>Round and round</t>
  </si>
  <si>
    <t>Kitty Cat</t>
  </si>
  <si>
    <t>Take me back</t>
  </si>
  <si>
    <t>Haunted house</t>
  </si>
  <si>
    <t>Cowboy</t>
  </si>
  <si>
    <t>Waikiki beach</t>
  </si>
  <si>
    <t>Baby boy</t>
  </si>
  <si>
    <t>Chipz in black</t>
  </si>
  <si>
    <t>Lambada</t>
  </si>
  <si>
    <t>Allegretto</t>
  </si>
  <si>
    <t>Children 130</t>
  </si>
  <si>
    <t>Children 120</t>
  </si>
  <si>
    <t>In the club</t>
  </si>
  <si>
    <t>Boom Digi Da</t>
  </si>
  <si>
    <t>The sailor song</t>
  </si>
  <si>
    <t>This is the way</t>
  </si>
  <si>
    <t>Pirate Dance</t>
  </si>
  <si>
    <t>The Devil</t>
  </si>
  <si>
    <t>Adagio for strings</t>
  </si>
  <si>
    <t>Monty on the run</t>
  </si>
  <si>
    <t>Vater Unser</t>
  </si>
  <si>
    <t>Witch Doctor</t>
  </si>
  <si>
    <t>Jungle Beat</t>
  </si>
  <si>
    <t>Cow Girl</t>
  </si>
  <si>
    <t>Mne Uzhe</t>
  </si>
  <si>
    <t>Give me your love</t>
  </si>
  <si>
    <t>In the hall of the mountain King</t>
  </si>
  <si>
    <t>Fun-Loving spirit</t>
  </si>
  <si>
    <t>World of fantasy</t>
  </si>
  <si>
    <t>Centerfold</t>
  </si>
  <si>
    <t>JennyROM</t>
  </si>
  <si>
    <t>Lets go outside</t>
  </si>
  <si>
    <t>One Two Three</t>
  </si>
  <si>
    <t>Adventures of Bob on Extacy</t>
  </si>
  <si>
    <t>Elements of Life</t>
  </si>
  <si>
    <t>Xhosa</t>
  </si>
  <si>
    <t>Allez ola ole</t>
  </si>
  <si>
    <t>Sic Fic</t>
  </si>
  <si>
    <t>GodSpeed</t>
  </si>
  <si>
    <t>Here I go again</t>
  </si>
  <si>
    <t>Rescue</t>
  </si>
  <si>
    <t>Dabbi Doo</t>
  </si>
  <si>
    <t>Koko Soko</t>
  </si>
  <si>
    <t>Empyrean</t>
  </si>
  <si>
    <t>Brave new world</t>
  </si>
  <si>
    <t>Dare to be stupid</t>
  </si>
  <si>
    <t>Macro</t>
  </si>
  <si>
    <t>Sands of Evolution</t>
  </si>
  <si>
    <t>Here I am</t>
  </si>
  <si>
    <t>5,6,7,8</t>
  </si>
  <si>
    <t>Cherry Gum</t>
  </si>
  <si>
    <t>Mister Brilliant</t>
  </si>
  <si>
    <t>So</t>
  </si>
  <si>
    <t>A life so changed</t>
  </si>
  <si>
    <t>Welcome to the rainbow</t>
  </si>
  <si>
    <t>Bang Bang</t>
  </si>
  <si>
    <t>Bombay Dreams</t>
  </si>
  <si>
    <t>Cloud</t>
  </si>
  <si>
    <t>Diddily Doo</t>
  </si>
  <si>
    <t>Emerge</t>
  </si>
  <si>
    <t>Moni</t>
  </si>
  <si>
    <t>Secret</t>
  </si>
  <si>
    <t>Blue Sunshine</t>
  </si>
  <si>
    <t>Eskimo</t>
  </si>
  <si>
    <t>Everything</t>
  </si>
  <si>
    <t>Garden State</t>
  </si>
  <si>
    <t>New Face</t>
  </si>
  <si>
    <t>On a good Day</t>
  </si>
  <si>
    <t>Yes! Yuyuyu Yuruyuri</t>
  </si>
  <si>
    <t>A little piece of heaven</t>
  </si>
  <si>
    <t>Beautiful Life</t>
  </si>
  <si>
    <t>Cirnos perfect math class</t>
  </si>
  <si>
    <t>Cosmic Cowgirl</t>
  </si>
  <si>
    <t>Dead or Alive</t>
  </si>
  <si>
    <t>Deep Blue</t>
  </si>
  <si>
    <t>Do you think Im pretty</t>
  </si>
  <si>
    <t>Do-bi-di-boy</t>
  </si>
  <si>
    <t>Engel der Nacht</t>
  </si>
  <si>
    <t>Fasten your seatbelts</t>
  </si>
  <si>
    <t>Flyers</t>
  </si>
  <si>
    <t>King and Queen</t>
  </si>
  <si>
    <t>Heard that sound</t>
  </si>
  <si>
    <t>I wanna go</t>
  </si>
  <si>
    <t>Kizungozungo</t>
  </si>
  <si>
    <t>KOOKY Spooky</t>
  </si>
  <si>
    <t>Lay your hands on me</t>
  </si>
  <si>
    <t>Make you freak</t>
  </si>
  <si>
    <t>Me &amp; my microphone</t>
  </si>
  <si>
    <t>När jag går ner</t>
  </si>
  <si>
    <t>Girls generation</t>
  </si>
  <si>
    <t>Stromae</t>
  </si>
  <si>
    <t>Party all night</t>
  </si>
  <si>
    <t>Rain</t>
  </si>
  <si>
    <t>Story</t>
  </si>
  <si>
    <t>Superfabulous</t>
  </si>
  <si>
    <t>The other side</t>
  </si>
  <si>
    <t>Tokyo</t>
  </si>
  <si>
    <t>Under the kilt</t>
  </si>
  <si>
    <t>Uber Rave 140</t>
  </si>
  <si>
    <t xml:space="preserve"> </t>
  </si>
  <si>
    <t>Dansförslag</t>
  </si>
  <si>
    <t>12-13</t>
  </si>
  <si>
    <t>bend your mind</t>
  </si>
  <si>
    <t>girls generation hittar inte (10)</t>
  </si>
  <si>
    <t>dota hittar inte på titel</t>
  </si>
  <si>
    <t>K stamina test resultat</t>
  </si>
  <si>
    <t>A-Team</t>
  </si>
  <si>
    <t>BMO Sings</t>
  </si>
  <si>
    <t>C++</t>
  </si>
  <si>
    <t>How to train your dragon remix</t>
  </si>
  <si>
    <t>Futuristic Vision</t>
  </si>
  <si>
    <t>Gravy Rainbow</t>
  </si>
  <si>
    <t>Party On</t>
  </si>
  <si>
    <t>Pick &amp; Choose</t>
  </si>
  <si>
    <t>Plastic beauty</t>
  </si>
  <si>
    <t>Size doesn't mean everything</t>
  </si>
  <si>
    <t>Unicorn wizard</t>
  </si>
  <si>
    <t>Upular</t>
  </si>
  <si>
    <t>Crazy Rapist</t>
  </si>
  <si>
    <t>Goku vs Vegeta</t>
  </si>
  <si>
    <t>Ninjyari Bang Bang</t>
  </si>
  <si>
    <t>Sun Trip</t>
  </si>
  <si>
    <t>Color of the Game</t>
  </si>
  <si>
    <t>Paparazzi</t>
  </si>
  <si>
    <t>fasten your seatbelts bort</t>
  </si>
  <si>
    <t>Sport of the heart</t>
  </si>
  <si>
    <t>Tryck fn+F9 för ny danslista</t>
  </si>
  <si>
    <t xml:space="preserve">  </t>
  </si>
  <si>
    <t>måndag</t>
  </si>
  <si>
    <t>Organisk kemi</t>
  </si>
  <si>
    <t>tisdag</t>
  </si>
  <si>
    <t>onsdag</t>
  </si>
  <si>
    <t>Biokemi</t>
  </si>
  <si>
    <t>Kemisk jämvikt</t>
  </si>
  <si>
    <t>Bumble Bee</t>
  </si>
  <si>
    <t>Person</t>
  </si>
  <si>
    <t>Låt</t>
  </si>
  <si>
    <t>Stöd</t>
  </si>
  <si>
    <t>Roligt</t>
  </si>
  <si>
    <t>Nyttiga</t>
  </si>
  <si>
    <t>Repetition Kemi 2</t>
  </si>
  <si>
    <t>Fysik 2-video</t>
  </si>
  <si>
    <t>Fysik 2-uppgifter</t>
  </si>
  <si>
    <t>Dansmattelåt</t>
  </si>
  <si>
    <t>Koreanska</t>
  </si>
  <si>
    <t>Karaoke</t>
  </si>
  <si>
    <t>Programmering</t>
  </si>
  <si>
    <t>Teckna</t>
  </si>
  <si>
    <t>Läsa</t>
  </si>
  <si>
    <t>Origami</t>
  </si>
  <si>
    <t>Dansa</t>
  </si>
  <si>
    <t>Saker tillsammans</t>
  </si>
  <si>
    <t>Åker i Skåne</t>
  </si>
  <si>
    <t>Rörelse</t>
  </si>
  <si>
    <t>Går promenad i Bjärrred</t>
  </si>
  <si>
    <t>Buss + promenad</t>
  </si>
  <si>
    <t>Fixa med bandet</t>
  </si>
  <si>
    <t>Kolla sångpedagog</t>
  </si>
  <si>
    <t>Fint i rummet</t>
  </si>
  <si>
    <t>Kuben</t>
  </si>
  <si>
    <t>Fiol extra</t>
  </si>
  <si>
    <t>Matte specialisering</t>
  </si>
  <si>
    <t>Bas Rocksmith</t>
  </si>
  <si>
    <t>Piano Udemy</t>
  </si>
  <si>
    <t>Ritkurs Udemy</t>
  </si>
  <si>
    <t>Bada</t>
  </si>
  <si>
    <t>torsdag</t>
  </si>
  <si>
    <t>fredag</t>
  </si>
  <si>
    <t>Lappen</t>
  </si>
  <si>
    <t>Lunch</t>
  </si>
  <si>
    <t>Frukost</t>
  </si>
  <si>
    <t>35 pass</t>
  </si>
  <si>
    <t>Slump</t>
  </si>
  <si>
    <t>Promenad Bjärred</t>
  </si>
  <si>
    <t>Crossfit</t>
  </si>
  <si>
    <t>Ordning lägga in</t>
  </si>
  <si>
    <t>ev träning</t>
  </si>
  <si>
    <t>ev tillsammans</t>
  </si>
  <si>
    <t>övrigt</t>
  </si>
  <si>
    <t>Fysik 2 uppgifter</t>
  </si>
  <si>
    <t>Videoredigering</t>
  </si>
  <si>
    <t>Kort promenad (20 min)</t>
  </si>
  <si>
    <t>Löpning 5 km</t>
  </si>
  <si>
    <t xml:space="preserve">a ilịaca communis </t>
  </si>
  <si>
    <t xml:space="preserve">   a ilịaca interna </t>
  </si>
  <si>
    <t xml:space="preserve">      a glutẹa superior </t>
  </si>
  <si>
    <t xml:space="preserve">      a obturatoria  </t>
  </si>
  <si>
    <t xml:space="preserve"> a glutẹa inferior </t>
  </si>
  <si>
    <t xml:space="preserve">a ilịaca externa </t>
  </si>
  <si>
    <t xml:space="preserve">      a femoralis YA </t>
  </si>
  <si>
    <t xml:space="preserve">         aa pudendae externae  </t>
  </si>
  <si>
    <t xml:space="preserve">         a profunda fẹmoris </t>
  </si>
  <si>
    <t xml:space="preserve">             a circumflexa fẹmoris lateralis et medialis </t>
  </si>
  <si>
    <t xml:space="preserve">   canalis adductorius </t>
  </si>
  <si>
    <t xml:space="preserve">   a poplịtea YA </t>
  </si>
  <si>
    <t xml:space="preserve">   a tibialis posterior YA </t>
  </si>
  <si>
    <t xml:space="preserve"> a fibularis (a peronea) </t>
  </si>
  <si>
    <t xml:space="preserve">a tibialis anterior </t>
  </si>
  <si>
    <t xml:space="preserve">      a dorsalis pedis YA </t>
  </si>
  <si>
    <t xml:space="preserve"> a arcuata</t>
  </si>
  <si>
    <t>=INDEX($A:$A,RANDBETWEEN(1,COUNTA($A:$A)),1)</t>
  </si>
  <si>
    <t>Slumpa artärer 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</si>
</sst>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118"/>
      <name val="Nunito Sans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5" borderId="1" applyNumberFormat="0" applyFont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0" fontId="0" fillId="4" borderId="0" xfId="0" applyFill="1"/>
    <xf numFmtId="0" fontId="1" fillId="0" borderId="0" xfId="0" applyFont="1"/>
    <xf numFmtId="0" fontId="0" fillId="5" borderId="1" xfId="1" applyFont="1"/>
    <xf numFmtId="0" fontId="3" fillId="5" borderId="1" xfId="1" applyFont="1"/>
    <xf numFmtId="0" fontId="0" fillId="6" borderId="0" xfId="0" applyFill="1"/>
    <xf numFmtId="0" fontId="4" fillId="0" borderId="0" xfId="0" applyFont="1"/>
  </cellXfs>
  <cellStyles count="2">
    <cellStyle name="Anteckning" xfId="1" builtinId="10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Danslista!$D$3:$D$25</c:f>
              <c:numCache>
                <c:formatCode>General</c:formatCode>
                <c:ptCount val="23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43AA-923B-37EA03E97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60512"/>
        <c:axId val="165917184"/>
      </c:barChart>
      <c:catAx>
        <c:axId val="20576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65917184"/>
        <c:crosses val="autoZero"/>
        <c:auto val="1"/>
        <c:lblAlgn val="ctr"/>
        <c:lblOffset val="100"/>
        <c:noMultiLvlLbl val="0"/>
      </c:catAx>
      <c:valAx>
        <c:axId val="16591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760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10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</xdr:row>
          <xdr:rowOff>180975</xdr:rowOff>
        </xdr:from>
        <xdr:to>
          <xdr:col>1</xdr:col>
          <xdr:colOff>28575</xdr:colOff>
          <xdr:row>4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</xdr:row>
          <xdr:rowOff>9525</xdr:rowOff>
        </xdr:from>
        <xdr:to>
          <xdr:col>1</xdr:col>
          <xdr:colOff>28575</xdr:colOff>
          <xdr:row>5</xdr:row>
          <xdr:rowOff>28575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</xdr:row>
          <xdr:rowOff>0</xdr:rowOff>
        </xdr:from>
        <xdr:to>
          <xdr:col>1</xdr:col>
          <xdr:colOff>28575</xdr:colOff>
          <xdr:row>6</xdr:row>
          <xdr:rowOff>19050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</xdr:row>
          <xdr:rowOff>180975</xdr:rowOff>
        </xdr:from>
        <xdr:to>
          <xdr:col>1</xdr:col>
          <xdr:colOff>28575</xdr:colOff>
          <xdr:row>7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180975</xdr:rowOff>
        </xdr:from>
        <xdr:to>
          <xdr:col>1</xdr:col>
          <xdr:colOff>28575</xdr:colOff>
          <xdr:row>8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5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180975</xdr:rowOff>
        </xdr:from>
        <xdr:to>
          <xdr:col>1</xdr:col>
          <xdr:colOff>28575</xdr:colOff>
          <xdr:row>9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5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180975</xdr:rowOff>
        </xdr:from>
        <xdr:to>
          <xdr:col>1</xdr:col>
          <xdr:colOff>28575</xdr:colOff>
          <xdr:row>10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5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9</xdr:row>
          <xdr:rowOff>171450</xdr:rowOff>
        </xdr:from>
        <xdr:to>
          <xdr:col>1</xdr:col>
          <xdr:colOff>28575</xdr:colOff>
          <xdr:row>11</xdr:row>
          <xdr:rowOff>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5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10</xdr:row>
          <xdr:rowOff>171450</xdr:rowOff>
        </xdr:from>
        <xdr:to>
          <xdr:col>1</xdr:col>
          <xdr:colOff>28575</xdr:colOff>
          <xdr:row>12</xdr:row>
          <xdr:rowOff>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5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12</xdr:row>
          <xdr:rowOff>171450</xdr:rowOff>
        </xdr:from>
        <xdr:to>
          <xdr:col>1</xdr:col>
          <xdr:colOff>28575</xdr:colOff>
          <xdr:row>14</xdr:row>
          <xdr:rowOff>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5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11</xdr:row>
          <xdr:rowOff>180975</xdr:rowOff>
        </xdr:from>
        <xdr:to>
          <xdr:col>1</xdr:col>
          <xdr:colOff>28575</xdr:colOff>
          <xdr:row>13</xdr:row>
          <xdr:rowOff>9525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5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13</xdr:row>
          <xdr:rowOff>171450</xdr:rowOff>
        </xdr:from>
        <xdr:to>
          <xdr:col>1</xdr:col>
          <xdr:colOff>28575</xdr:colOff>
          <xdr:row>15</xdr:row>
          <xdr:rowOff>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5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14</xdr:row>
          <xdr:rowOff>171450</xdr:rowOff>
        </xdr:from>
        <xdr:to>
          <xdr:col>1</xdr:col>
          <xdr:colOff>28575</xdr:colOff>
          <xdr:row>16</xdr:row>
          <xdr:rowOff>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5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0</xdr:rowOff>
        </xdr:from>
        <xdr:to>
          <xdr:col>1</xdr:col>
          <xdr:colOff>28575</xdr:colOff>
          <xdr:row>17</xdr:row>
          <xdr:rowOff>19050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5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180975</xdr:rowOff>
        </xdr:from>
        <xdr:to>
          <xdr:col>1</xdr:col>
          <xdr:colOff>28575</xdr:colOff>
          <xdr:row>18</xdr:row>
          <xdr:rowOff>9525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5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17</xdr:row>
          <xdr:rowOff>171450</xdr:rowOff>
        </xdr:from>
        <xdr:to>
          <xdr:col>1</xdr:col>
          <xdr:colOff>28575</xdr:colOff>
          <xdr:row>19</xdr:row>
          <xdr:rowOff>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5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18</xdr:row>
          <xdr:rowOff>180975</xdr:rowOff>
        </xdr:from>
        <xdr:to>
          <xdr:col>1</xdr:col>
          <xdr:colOff>28575</xdr:colOff>
          <xdr:row>20</xdr:row>
          <xdr:rowOff>19050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5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19</xdr:row>
          <xdr:rowOff>180975</xdr:rowOff>
        </xdr:from>
        <xdr:to>
          <xdr:col>1</xdr:col>
          <xdr:colOff>28575</xdr:colOff>
          <xdr:row>21</xdr:row>
          <xdr:rowOff>19050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5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20</xdr:row>
          <xdr:rowOff>180975</xdr:rowOff>
        </xdr:from>
        <xdr:to>
          <xdr:col>1</xdr:col>
          <xdr:colOff>28575</xdr:colOff>
          <xdr:row>22</xdr:row>
          <xdr:rowOff>9525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5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21</xdr:row>
          <xdr:rowOff>180975</xdr:rowOff>
        </xdr:from>
        <xdr:to>
          <xdr:col>1</xdr:col>
          <xdr:colOff>28575</xdr:colOff>
          <xdr:row>23</xdr:row>
          <xdr:rowOff>9525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5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22</xdr:row>
          <xdr:rowOff>180975</xdr:rowOff>
        </xdr:from>
        <xdr:to>
          <xdr:col>1</xdr:col>
          <xdr:colOff>28575</xdr:colOff>
          <xdr:row>24</xdr:row>
          <xdr:rowOff>9525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5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180975</xdr:rowOff>
        </xdr:from>
        <xdr:to>
          <xdr:col>1</xdr:col>
          <xdr:colOff>28575</xdr:colOff>
          <xdr:row>25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5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</xdr:row>
          <xdr:rowOff>180975</xdr:rowOff>
        </xdr:from>
        <xdr:to>
          <xdr:col>3</xdr:col>
          <xdr:colOff>28575</xdr:colOff>
          <xdr:row>4</xdr:row>
          <xdr:rowOff>9525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5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9525</xdr:rowOff>
        </xdr:from>
        <xdr:to>
          <xdr:col>3</xdr:col>
          <xdr:colOff>28575</xdr:colOff>
          <xdr:row>5</xdr:row>
          <xdr:rowOff>28575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5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0</xdr:rowOff>
        </xdr:from>
        <xdr:to>
          <xdr:col>3</xdr:col>
          <xdr:colOff>28575</xdr:colOff>
          <xdr:row>6</xdr:row>
          <xdr:rowOff>19050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5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180975</xdr:rowOff>
        </xdr:from>
        <xdr:to>
          <xdr:col>3</xdr:col>
          <xdr:colOff>28575</xdr:colOff>
          <xdr:row>7</xdr:row>
          <xdr:rowOff>9525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5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</xdr:row>
          <xdr:rowOff>180975</xdr:rowOff>
        </xdr:from>
        <xdr:to>
          <xdr:col>3</xdr:col>
          <xdr:colOff>28575</xdr:colOff>
          <xdr:row>8</xdr:row>
          <xdr:rowOff>9525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5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</xdr:row>
          <xdr:rowOff>180975</xdr:rowOff>
        </xdr:from>
        <xdr:to>
          <xdr:col>3</xdr:col>
          <xdr:colOff>28575</xdr:colOff>
          <xdr:row>9</xdr:row>
          <xdr:rowOff>9525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5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8</xdr:row>
          <xdr:rowOff>180975</xdr:rowOff>
        </xdr:from>
        <xdr:to>
          <xdr:col>3</xdr:col>
          <xdr:colOff>28575</xdr:colOff>
          <xdr:row>10</xdr:row>
          <xdr:rowOff>9525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5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9</xdr:row>
          <xdr:rowOff>171450</xdr:rowOff>
        </xdr:from>
        <xdr:to>
          <xdr:col>3</xdr:col>
          <xdr:colOff>28575</xdr:colOff>
          <xdr:row>11</xdr:row>
          <xdr:rowOff>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5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10</xdr:row>
          <xdr:rowOff>171450</xdr:rowOff>
        </xdr:from>
        <xdr:to>
          <xdr:col>3</xdr:col>
          <xdr:colOff>28575</xdr:colOff>
          <xdr:row>12</xdr:row>
          <xdr:rowOff>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5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12</xdr:row>
          <xdr:rowOff>171450</xdr:rowOff>
        </xdr:from>
        <xdr:to>
          <xdr:col>3</xdr:col>
          <xdr:colOff>28575</xdr:colOff>
          <xdr:row>14</xdr:row>
          <xdr:rowOff>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5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11</xdr:row>
          <xdr:rowOff>180975</xdr:rowOff>
        </xdr:from>
        <xdr:to>
          <xdr:col>3</xdr:col>
          <xdr:colOff>28575</xdr:colOff>
          <xdr:row>13</xdr:row>
          <xdr:rowOff>9525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5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13</xdr:row>
          <xdr:rowOff>171450</xdr:rowOff>
        </xdr:from>
        <xdr:to>
          <xdr:col>3</xdr:col>
          <xdr:colOff>28575</xdr:colOff>
          <xdr:row>15</xdr:row>
          <xdr:rowOff>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5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14</xdr:row>
          <xdr:rowOff>171450</xdr:rowOff>
        </xdr:from>
        <xdr:to>
          <xdr:col>3</xdr:col>
          <xdr:colOff>28575</xdr:colOff>
          <xdr:row>16</xdr:row>
          <xdr:rowOff>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5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0</xdr:rowOff>
        </xdr:from>
        <xdr:to>
          <xdr:col>3</xdr:col>
          <xdr:colOff>28575</xdr:colOff>
          <xdr:row>17</xdr:row>
          <xdr:rowOff>19050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5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180975</xdr:rowOff>
        </xdr:from>
        <xdr:to>
          <xdr:col>3</xdr:col>
          <xdr:colOff>28575</xdr:colOff>
          <xdr:row>18</xdr:row>
          <xdr:rowOff>9525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5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17</xdr:row>
          <xdr:rowOff>171450</xdr:rowOff>
        </xdr:from>
        <xdr:to>
          <xdr:col>3</xdr:col>
          <xdr:colOff>28575</xdr:colOff>
          <xdr:row>19</xdr:row>
          <xdr:rowOff>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5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18</xdr:row>
          <xdr:rowOff>180975</xdr:rowOff>
        </xdr:from>
        <xdr:to>
          <xdr:col>3</xdr:col>
          <xdr:colOff>28575</xdr:colOff>
          <xdr:row>20</xdr:row>
          <xdr:rowOff>19050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5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180975</xdr:rowOff>
        </xdr:from>
        <xdr:to>
          <xdr:col>3</xdr:col>
          <xdr:colOff>28575</xdr:colOff>
          <xdr:row>21</xdr:row>
          <xdr:rowOff>19050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5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20</xdr:row>
          <xdr:rowOff>180975</xdr:rowOff>
        </xdr:from>
        <xdr:to>
          <xdr:col>3</xdr:col>
          <xdr:colOff>28575</xdr:colOff>
          <xdr:row>22</xdr:row>
          <xdr:rowOff>9525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5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21</xdr:row>
          <xdr:rowOff>180975</xdr:rowOff>
        </xdr:from>
        <xdr:to>
          <xdr:col>3</xdr:col>
          <xdr:colOff>28575</xdr:colOff>
          <xdr:row>23</xdr:row>
          <xdr:rowOff>9525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5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180975</xdr:rowOff>
        </xdr:from>
        <xdr:to>
          <xdr:col>3</xdr:col>
          <xdr:colOff>28575</xdr:colOff>
          <xdr:row>24</xdr:row>
          <xdr:rowOff>9525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5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23</xdr:row>
          <xdr:rowOff>180975</xdr:rowOff>
        </xdr:from>
        <xdr:to>
          <xdr:col>3</xdr:col>
          <xdr:colOff>28575</xdr:colOff>
          <xdr:row>25</xdr:row>
          <xdr:rowOff>9525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5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2</xdr:row>
          <xdr:rowOff>180975</xdr:rowOff>
        </xdr:from>
        <xdr:to>
          <xdr:col>5</xdr:col>
          <xdr:colOff>9525</xdr:colOff>
          <xdr:row>4</xdr:row>
          <xdr:rowOff>9525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5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4</xdr:row>
          <xdr:rowOff>9525</xdr:rowOff>
        </xdr:from>
        <xdr:to>
          <xdr:col>5</xdr:col>
          <xdr:colOff>9525</xdr:colOff>
          <xdr:row>5</xdr:row>
          <xdr:rowOff>28575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5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5</xdr:row>
          <xdr:rowOff>0</xdr:rowOff>
        </xdr:from>
        <xdr:to>
          <xdr:col>5</xdr:col>
          <xdr:colOff>9525</xdr:colOff>
          <xdr:row>6</xdr:row>
          <xdr:rowOff>19050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5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5</xdr:row>
          <xdr:rowOff>180975</xdr:rowOff>
        </xdr:from>
        <xdr:to>
          <xdr:col>5</xdr:col>
          <xdr:colOff>9525</xdr:colOff>
          <xdr:row>7</xdr:row>
          <xdr:rowOff>9525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5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180975</xdr:rowOff>
        </xdr:from>
        <xdr:to>
          <xdr:col>5</xdr:col>
          <xdr:colOff>9525</xdr:colOff>
          <xdr:row>8</xdr:row>
          <xdr:rowOff>9525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5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8</xdr:row>
          <xdr:rowOff>9525</xdr:rowOff>
        </xdr:from>
        <xdr:to>
          <xdr:col>5</xdr:col>
          <xdr:colOff>9525</xdr:colOff>
          <xdr:row>9</xdr:row>
          <xdr:rowOff>28575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5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9</xdr:row>
          <xdr:rowOff>28575</xdr:rowOff>
        </xdr:from>
        <xdr:to>
          <xdr:col>5</xdr:col>
          <xdr:colOff>9525</xdr:colOff>
          <xdr:row>10</xdr:row>
          <xdr:rowOff>47625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5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10</xdr:row>
          <xdr:rowOff>19050</xdr:rowOff>
        </xdr:from>
        <xdr:to>
          <xdr:col>5</xdr:col>
          <xdr:colOff>9525</xdr:colOff>
          <xdr:row>11</xdr:row>
          <xdr:rowOff>38100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5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11</xdr:row>
          <xdr:rowOff>9525</xdr:rowOff>
        </xdr:from>
        <xdr:to>
          <xdr:col>5</xdr:col>
          <xdr:colOff>9525</xdr:colOff>
          <xdr:row>12</xdr:row>
          <xdr:rowOff>28575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5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12</xdr:row>
          <xdr:rowOff>9525</xdr:rowOff>
        </xdr:from>
        <xdr:to>
          <xdr:col>5</xdr:col>
          <xdr:colOff>9525</xdr:colOff>
          <xdr:row>13</xdr:row>
          <xdr:rowOff>28575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5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</xdr:row>
          <xdr:rowOff>180975</xdr:rowOff>
        </xdr:from>
        <xdr:to>
          <xdr:col>7</xdr:col>
          <xdr:colOff>9525</xdr:colOff>
          <xdr:row>4</xdr:row>
          <xdr:rowOff>9525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5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</xdr:row>
          <xdr:rowOff>9525</xdr:rowOff>
        </xdr:from>
        <xdr:to>
          <xdr:col>7</xdr:col>
          <xdr:colOff>9525</xdr:colOff>
          <xdr:row>5</xdr:row>
          <xdr:rowOff>28575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5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</xdr:row>
          <xdr:rowOff>0</xdr:rowOff>
        </xdr:from>
        <xdr:to>
          <xdr:col>7</xdr:col>
          <xdr:colOff>9525</xdr:colOff>
          <xdr:row>6</xdr:row>
          <xdr:rowOff>19050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5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</xdr:row>
          <xdr:rowOff>180975</xdr:rowOff>
        </xdr:from>
        <xdr:to>
          <xdr:col>7</xdr:col>
          <xdr:colOff>9525</xdr:colOff>
          <xdr:row>7</xdr:row>
          <xdr:rowOff>9525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5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6</xdr:row>
          <xdr:rowOff>180975</xdr:rowOff>
        </xdr:from>
        <xdr:to>
          <xdr:col>7</xdr:col>
          <xdr:colOff>9525</xdr:colOff>
          <xdr:row>8</xdr:row>
          <xdr:rowOff>9525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5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76200</xdr:colOff>
      <xdr:row>11</xdr:row>
      <xdr:rowOff>19050</xdr:rowOff>
    </xdr:from>
    <xdr:to>
      <xdr:col>7</xdr:col>
      <xdr:colOff>1419225</xdr:colOff>
      <xdr:row>21</xdr:row>
      <xdr:rowOff>9525</xdr:rowOff>
    </xdr:to>
    <xdr:sp macro="" textlink="">
      <xdr:nvSpPr>
        <xdr:cNvPr id="4" name="textruta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6591300" y="2114550"/>
          <a:ext cx="1343025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själv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 00:30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 00:50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stamina test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11,12,13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 01:00-</a:t>
          </a:r>
          <a:endParaRPr lang="sv-SE" sz="1100"/>
        </a:p>
      </xdr:txBody>
    </xdr:sp>
    <xdr:clientData/>
  </xdr:twoCellAnchor>
  <xdr:twoCellAnchor>
    <xdr:from>
      <xdr:col>8</xdr:col>
      <xdr:colOff>104775</xdr:colOff>
      <xdr:row>11</xdr:row>
      <xdr:rowOff>28575</xdr:rowOff>
    </xdr:from>
    <xdr:to>
      <xdr:col>10</xdr:col>
      <xdr:colOff>19050</xdr:colOff>
      <xdr:row>22</xdr:row>
      <xdr:rowOff>83344</xdr:rowOff>
    </xdr:to>
    <xdr:sp macro="" textlink="">
      <xdr:nvSpPr>
        <xdr:cNvPr id="72" name="textruta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8206978" y="2124075"/>
          <a:ext cx="1343025" cy="2150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och C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 00:30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9/10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 01:00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stamina test</a:t>
          </a:r>
          <a:r>
            <a:rPr lang="sv-SE"/>
            <a:t> </a:t>
          </a: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en 11,12,13</a:t>
          </a:r>
          <a:r>
            <a:rPr lang="sv-SE"/>
            <a:t> 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till</a:t>
          </a:r>
          <a:endParaRPr lang="sv-SE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180975</xdr:rowOff>
        </xdr:from>
        <xdr:to>
          <xdr:col>3</xdr:col>
          <xdr:colOff>28575</xdr:colOff>
          <xdr:row>7</xdr:row>
          <xdr:rowOff>9525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5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</xdr:row>
          <xdr:rowOff>180975</xdr:rowOff>
        </xdr:from>
        <xdr:to>
          <xdr:col>3</xdr:col>
          <xdr:colOff>28575</xdr:colOff>
          <xdr:row>8</xdr:row>
          <xdr:rowOff>9525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5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</xdr:row>
          <xdr:rowOff>180975</xdr:rowOff>
        </xdr:from>
        <xdr:to>
          <xdr:col>3</xdr:col>
          <xdr:colOff>28575</xdr:colOff>
          <xdr:row>9</xdr:row>
          <xdr:rowOff>9525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5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8</xdr:row>
          <xdr:rowOff>180975</xdr:rowOff>
        </xdr:from>
        <xdr:to>
          <xdr:col>3</xdr:col>
          <xdr:colOff>28575</xdr:colOff>
          <xdr:row>10</xdr:row>
          <xdr:rowOff>9525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5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11</xdr:row>
          <xdr:rowOff>180975</xdr:rowOff>
        </xdr:from>
        <xdr:to>
          <xdr:col>3</xdr:col>
          <xdr:colOff>28575</xdr:colOff>
          <xdr:row>13</xdr:row>
          <xdr:rowOff>9525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5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180975</xdr:rowOff>
        </xdr:from>
        <xdr:to>
          <xdr:col>3</xdr:col>
          <xdr:colOff>28575</xdr:colOff>
          <xdr:row>18</xdr:row>
          <xdr:rowOff>9525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5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20</xdr:row>
          <xdr:rowOff>180975</xdr:rowOff>
        </xdr:from>
        <xdr:to>
          <xdr:col>3</xdr:col>
          <xdr:colOff>28575</xdr:colOff>
          <xdr:row>22</xdr:row>
          <xdr:rowOff>9525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5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21</xdr:row>
          <xdr:rowOff>180975</xdr:rowOff>
        </xdr:from>
        <xdr:to>
          <xdr:col>3</xdr:col>
          <xdr:colOff>28575</xdr:colOff>
          <xdr:row>23</xdr:row>
          <xdr:rowOff>9525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5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180975</xdr:rowOff>
        </xdr:from>
        <xdr:to>
          <xdr:col>3</xdr:col>
          <xdr:colOff>28575</xdr:colOff>
          <xdr:row>24</xdr:row>
          <xdr:rowOff>9525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5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23</xdr:row>
          <xdr:rowOff>180975</xdr:rowOff>
        </xdr:from>
        <xdr:to>
          <xdr:col>3</xdr:col>
          <xdr:colOff>28575</xdr:colOff>
          <xdr:row>25</xdr:row>
          <xdr:rowOff>9525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5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180975</xdr:rowOff>
        </xdr:from>
        <xdr:to>
          <xdr:col>1</xdr:col>
          <xdr:colOff>28575</xdr:colOff>
          <xdr:row>18</xdr:row>
          <xdr:rowOff>9525</xdr:rowOff>
        </xdr:to>
        <xdr:sp macro="" textlink="">
          <xdr:nvSpPr>
            <xdr:cNvPr id="5222" name="Check Box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5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20</xdr:row>
          <xdr:rowOff>180975</xdr:rowOff>
        </xdr:from>
        <xdr:to>
          <xdr:col>1</xdr:col>
          <xdr:colOff>28575</xdr:colOff>
          <xdr:row>22</xdr:row>
          <xdr:rowOff>9525</xdr:rowOff>
        </xdr:to>
        <xdr:sp macro="" textlink="">
          <xdr:nvSpPr>
            <xdr:cNvPr id="5226" name="Check Box 106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5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21</xdr:row>
          <xdr:rowOff>180975</xdr:rowOff>
        </xdr:from>
        <xdr:to>
          <xdr:col>1</xdr:col>
          <xdr:colOff>28575</xdr:colOff>
          <xdr:row>23</xdr:row>
          <xdr:rowOff>9525</xdr:rowOff>
        </xdr:to>
        <xdr:sp macro="" textlink="">
          <xdr:nvSpPr>
            <xdr:cNvPr id="5227" name="Check Box 107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5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22</xdr:row>
          <xdr:rowOff>180975</xdr:rowOff>
        </xdr:from>
        <xdr:to>
          <xdr:col>1</xdr:col>
          <xdr:colOff>28575</xdr:colOff>
          <xdr:row>24</xdr:row>
          <xdr:rowOff>9525</xdr:rowOff>
        </xdr:to>
        <xdr:sp macro="" textlink="">
          <xdr:nvSpPr>
            <xdr:cNvPr id="5228" name="Check Box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5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180975</xdr:rowOff>
        </xdr:from>
        <xdr:to>
          <xdr:col>1</xdr:col>
          <xdr:colOff>28575</xdr:colOff>
          <xdr:row>25</xdr:row>
          <xdr:rowOff>9525</xdr:rowOff>
        </xdr:to>
        <xdr:sp macro="" textlink="">
          <xdr:nvSpPr>
            <xdr:cNvPr id="5229" name="Check Box 109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5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180975</xdr:rowOff>
        </xdr:from>
        <xdr:to>
          <xdr:col>1</xdr:col>
          <xdr:colOff>28575</xdr:colOff>
          <xdr:row>18</xdr:row>
          <xdr:rowOff>9525</xdr:rowOff>
        </xdr:to>
        <xdr:sp macro="" textlink="">
          <xdr:nvSpPr>
            <xdr:cNvPr id="5243" name="Check Box 123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5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20</xdr:row>
          <xdr:rowOff>180975</xdr:rowOff>
        </xdr:from>
        <xdr:to>
          <xdr:col>1</xdr:col>
          <xdr:colOff>28575</xdr:colOff>
          <xdr:row>22</xdr:row>
          <xdr:rowOff>9525</xdr:rowOff>
        </xdr:to>
        <xdr:sp macro="" textlink="">
          <xdr:nvSpPr>
            <xdr:cNvPr id="5247" name="Check Box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5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21</xdr:row>
          <xdr:rowOff>180975</xdr:rowOff>
        </xdr:from>
        <xdr:to>
          <xdr:col>1</xdr:col>
          <xdr:colOff>28575</xdr:colOff>
          <xdr:row>23</xdr:row>
          <xdr:rowOff>9525</xdr:rowOff>
        </xdr:to>
        <xdr:sp macro="" textlink="">
          <xdr:nvSpPr>
            <xdr:cNvPr id="5248" name="Check Box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5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22</xdr:row>
          <xdr:rowOff>180975</xdr:rowOff>
        </xdr:from>
        <xdr:to>
          <xdr:col>1</xdr:col>
          <xdr:colOff>28575</xdr:colOff>
          <xdr:row>24</xdr:row>
          <xdr:rowOff>9525</xdr:rowOff>
        </xdr:to>
        <xdr:sp macro="" textlink="">
          <xdr:nvSpPr>
            <xdr:cNvPr id="5249" name="Check Box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5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180975</xdr:rowOff>
        </xdr:from>
        <xdr:to>
          <xdr:col>1</xdr:col>
          <xdr:colOff>28575</xdr:colOff>
          <xdr:row>25</xdr:row>
          <xdr:rowOff>9525</xdr:rowOff>
        </xdr:to>
        <xdr:sp macro="" textlink="">
          <xdr:nvSpPr>
            <xdr:cNvPr id="5250" name="Check Box 130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5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180975</xdr:rowOff>
        </xdr:from>
        <xdr:to>
          <xdr:col>3</xdr:col>
          <xdr:colOff>28575</xdr:colOff>
          <xdr:row>7</xdr:row>
          <xdr:rowOff>9525</xdr:rowOff>
        </xdr:to>
        <xdr:sp macro="" textlink="">
          <xdr:nvSpPr>
            <xdr:cNvPr id="5253" name="Check Box 133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5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</xdr:row>
          <xdr:rowOff>180975</xdr:rowOff>
        </xdr:from>
        <xdr:to>
          <xdr:col>3</xdr:col>
          <xdr:colOff>28575</xdr:colOff>
          <xdr:row>8</xdr:row>
          <xdr:rowOff>9525</xdr:rowOff>
        </xdr:to>
        <xdr:sp macro="" textlink="">
          <xdr:nvSpPr>
            <xdr:cNvPr id="5254" name="Check Box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5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</xdr:row>
          <xdr:rowOff>180975</xdr:rowOff>
        </xdr:from>
        <xdr:to>
          <xdr:col>3</xdr:col>
          <xdr:colOff>28575</xdr:colOff>
          <xdr:row>9</xdr:row>
          <xdr:rowOff>9525</xdr:rowOff>
        </xdr:to>
        <xdr:sp macro="" textlink="">
          <xdr:nvSpPr>
            <xdr:cNvPr id="5255" name="Check Box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5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8</xdr:row>
          <xdr:rowOff>180975</xdr:rowOff>
        </xdr:from>
        <xdr:to>
          <xdr:col>3</xdr:col>
          <xdr:colOff>28575</xdr:colOff>
          <xdr:row>10</xdr:row>
          <xdr:rowOff>9525</xdr:rowOff>
        </xdr:to>
        <xdr:sp macro="" textlink="">
          <xdr:nvSpPr>
            <xdr:cNvPr id="5256" name="Check Box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5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11</xdr:row>
          <xdr:rowOff>180975</xdr:rowOff>
        </xdr:from>
        <xdr:to>
          <xdr:col>3</xdr:col>
          <xdr:colOff>28575</xdr:colOff>
          <xdr:row>13</xdr:row>
          <xdr:rowOff>9525</xdr:rowOff>
        </xdr:to>
        <xdr:sp macro="" textlink="">
          <xdr:nvSpPr>
            <xdr:cNvPr id="5259" name="Check Box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5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180975</xdr:rowOff>
        </xdr:from>
        <xdr:to>
          <xdr:col>3</xdr:col>
          <xdr:colOff>28575</xdr:colOff>
          <xdr:row>18</xdr:row>
          <xdr:rowOff>9525</xdr:rowOff>
        </xdr:to>
        <xdr:sp macro="" textlink="">
          <xdr:nvSpPr>
            <xdr:cNvPr id="5264" name="Check Box 144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5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20</xdr:row>
          <xdr:rowOff>180975</xdr:rowOff>
        </xdr:from>
        <xdr:to>
          <xdr:col>3</xdr:col>
          <xdr:colOff>28575</xdr:colOff>
          <xdr:row>22</xdr:row>
          <xdr:rowOff>9525</xdr:rowOff>
        </xdr:to>
        <xdr:sp macro="" textlink="">
          <xdr:nvSpPr>
            <xdr:cNvPr id="5268" name="Check Box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5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21</xdr:row>
          <xdr:rowOff>180975</xdr:rowOff>
        </xdr:from>
        <xdr:to>
          <xdr:col>3</xdr:col>
          <xdr:colOff>28575</xdr:colOff>
          <xdr:row>23</xdr:row>
          <xdr:rowOff>9525</xdr:rowOff>
        </xdr:to>
        <xdr:sp macro="" textlink="">
          <xdr:nvSpPr>
            <xdr:cNvPr id="5269" name="Check Box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5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180975</xdr:rowOff>
        </xdr:from>
        <xdr:to>
          <xdr:col>3</xdr:col>
          <xdr:colOff>28575</xdr:colOff>
          <xdr:row>24</xdr:row>
          <xdr:rowOff>9525</xdr:rowOff>
        </xdr:to>
        <xdr:sp macro="" textlink="">
          <xdr:nvSpPr>
            <xdr:cNvPr id="5270" name="Check Box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5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23</xdr:row>
          <xdr:rowOff>180975</xdr:rowOff>
        </xdr:from>
        <xdr:to>
          <xdr:col>3</xdr:col>
          <xdr:colOff>28575</xdr:colOff>
          <xdr:row>25</xdr:row>
          <xdr:rowOff>9525</xdr:rowOff>
        </xdr:to>
        <xdr:sp macro="" textlink="">
          <xdr:nvSpPr>
            <xdr:cNvPr id="5271" name="Check Box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5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5</xdr:row>
          <xdr:rowOff>180975</xdr:rowOff>
        </xdr:from>
        <xdr:to>
          <xdr:col>5</xdr:col>
          <xdr:colOff>9525</xdr:colOff>
          <xdr:row>7</xdr:row>
          <xdr:rowOff>9525</xdr:rowOff>
        </xdr:to>
        <xdr:sp macro="" textlink="">
          <xdr:nvSpPr>
            <xdr:cNvPr id="5274" name="Check Box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5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180975</xdr:rowOff>
        </xdr:from>
        <xdr:to>
          <xdr:col>5</xdr:col>
          <xdr:colOff>9525</xdr:colOff>
          <xdr:row>8</xdr:row>
          <xdr:rowOff>9525</xdr:rowOff>
        </xdr:to>
        <xdr:sp macro="" textlink="">
          <xdr:nvSpPr>
            <xdr:cNvPr id="5275" name="Check Box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5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180975</xdr:rowOff>
        </xdr:from>
        <xdr:to>
          <xdr:col>1</xdr:col>
          <xdr:colOff>28575</xdr:colOff>
          <xdr:row>18</xdr:row>
          <xdr:rowOff>9525</xdr:rowOff>
        </xdr:to>
        <xdr:sp macro="" textlink="">
          <xdr:nvSpPr>
            <xdr:cNvPr id="5294" name="Check Box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5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20</xdr:row>
          <xdr:rowOff>180975</xdr:rowOff>
        </xdr:from>
        <xdr:to>
          <xdr:col>1</xdr:col>
          <xdr:colOff>28575</xdr:colOff>
          <xdr:row>22</xdr:row>
          <xdr:rowOff>9525</xdr:rowOff>
        </xdr:to>
        <xdr:sp macro="" textlink="">
          <xdr:nvSpPr>
            <xdr:cNvPr id="5298" name="Check Box 178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5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21</xdr:row>
          <xdr:rowOff>180975</xdr:rowOff>
        </xdr:from>
        <xdr:to>
          <xdr:col>1</xdr:col>
          <xdr:colOff>28575</xdr:colOff>
          <xdr:row>23</xdr:row>
          <xdr:rowOff>9525</xdr:rowOff>
        </xdr:to>
        <xdr:sp macro="" textlink="">
          <xdr:nvSpPr>
            <xdr:cNvPr id="5299" name="Check Box 179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5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22</xdr:row>
          <xdr:rowOff>180975</xdr:rowOff>
        </xdr:from>
        <xdr:to>
          <xdr:col>1</xdr:col>
          <xdr:colOff>28575</xdr:colOff>
          <xdr:row>24</xdr:row>
          <xdr:rowOff>9525</xdr:rowOff>
        </xdr:to>
        <xdr:sp macro="" textlink="">
          <xdr:nvSpPr>
            <xdr:cNvPr id="5300" name="Check Box 180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5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180975</xdr:rowOff>
        </xdr:from>
        <xdr:to>
          <xdr:col>1</xdr:col>
          <xdr:colOff>28575</xdr:colOff>
          <xdr:row>25</xdr:row>
          <xdr:rowOff>9525</xdr:rowOff>
        </xdr:to>
        <xdr:sp macro="" textlink="">
          <xdr:nvSpPr>
            <xdr:cNvPr id="5301" name="Check Box 181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5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</xdr:row>
          <xdr:rowOff>180975</xdr:rowOff>
        </xdr:from>
        <xdr:to>
          <xdr:col>1</xdr:col>
          <xdr:colOff>28575</xdr:colOff>
          <xdr:row>5</xdr:row>
          <xdr:rowOff>9525</xdr:rowOff>
        </xdr:to>
        <xdr:sp macro="" textlink="">
          <xdr:nvSpPr>
            <xdr:cNvPr id="5302" name="Check Box 182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5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</xdr:row>
          <xdr:rowOff>180975</xdr:rowOff>
        </xdr:from>
        <xdr:to>
          <xdr:col>1</xdr:col>
          <xdr:colOff>28575</xdr:colOff>
          <xdr:row>6</xdr:row>
          <xdr:rowOff>9525</xdr:rowOff>
        </xdr:to>
        <xdr:sp macro="" textlink="">
          <xdr:nvSpPr>
            <xdr:cNvPr id="5303" name="Check Box 183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5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</xdr:row>
          <xdr:rowOff>180975</xdr:rowOff>
        </xdr:from>
        <xdr:to>
          <xdr:col>1</xdr:col>
          <xdr:colOff>28575</xdr:colOff>
          <xdr:row>7</xdr:row>
          <xdr:rowOff>9525</xdr:rowOff>
        </xdr:to>
        <xdr:sp macro="" textlink="">
          <xdr:nvSpPr>
            <xdr:cNvPr id="5304" name="Check Box 184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5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180975</xdr:rowOff>
        </xdr:from>
        <xdr:to>
          <xdr:col>1</xdr:col>
          <xdr:colOff>28575</xdr:colOff>
          <xdr:row>8</xdr:row>
          <xdr:rowOff>9525</xdr:rowOff>
        </xdr:to>
        <xdr:sp macro="" textlink="">
          <xdr:nvSpPr>
            <xdr:cNvPr id="5305" name="Check Box 185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5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180975</xdr:rowOff>
        </xdr:from>
        <xdr:to>
          <xdr:col>1</xdr:col>
          <xdr:colOff>28575</xdr:colOff>
          <xdr:row>9</xdr:row>
          <xdr:rowOff>9525</xdr:rowOff>
        </xdr:to>
        <xdr:sp macro="" textlink="">
          <xdr:nvSpPr>
            <xdr:cNvPr id="5306" name="Check Box 186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5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180975</xdr:rowOff>
        </xdr:from>
        <xdr:to>
          <xdr:col>1</xdr:col>
          <xdr:colOff>28575</xdr:colOff>
          <xdr:row>10</xdr:row>
          <xdr:rowOff>9525</xdr:rowOff>
        </xdr:to>
        <xdr:sp macro="" textlink="">
          <xdr:nvSpPr>
            <xdr:cNvPr id="5307" name="Check Box 187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5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9</xdr:row>
          <xdr:rowOff>180975</xdr:rowOff>
        </xdr:from>
        <xdr:to>
          <xdr:col>1</xdr:col>
          <xdr:colOff>28575</xdr:colOff>
          <xdr:row>11</xdr:row>
          <xdr:rowOff>9525</xdr:rowOff>
        </xdr:to>
        <xdr:sp macro="" textlink="">
          <xdr:nvSpPr>
            <xdr:cNvPr id="5308" name="Check Box 188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5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10</xdr:row>
          <xdr:rowOff>180975</xdr:rowOff>
        </xdr:from>
        <xdr:to>
          <xdr:col>1</xdr:col>
          <xdr:colOff>28575</xdr:colOff>
          <xdr:row>12</xdr:row>
          <xdr:rowOff>9525</xdr:rowOff>
        </xdr:to>
        <xdr:sp macro="" textlink="">
          <xdr:nvSpPr>
            <xdr:cNvPr id="5309" name="Check Box 189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00000000-0008-0000-0500-0000B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11</xdr:row>
          <xdr:rowOff>180975</xdr:rowOff>
        </xdr:from>
        <xdr:to>
          <xdr:col>1</xdr:col>
          <xdr:colOff>28575</xdr:colOff>
          <xdr:row>13</xdr:row>
          <xdr:rowOff>9525</xdr:rowOff>
        </xdr:to>
        <xdr:sp macro="" textlink="">
          <xdr:nvSpPr>
            <xdr:cNvPr id="5310" name="Check Box 190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00000000-0008-0000-0500-0000B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12</xdr:row>
          <xdr:rowOff>180975</xdr:rowOff>
        </xdr:from>
        <xdr:to>
          <xdr:col>1</xdr:col>
          <xdr:colOff>28575</xdr:colOff>
          <xdr:row>14</xdr:row>
          <xdr:rowOff>9525</xdr:rowOff>
        </xdr:to>
        <xdr:sp macro="" textlink="">
          <xdr:nvSpPr>
            <xdr:cNvPr id="5311" name="Check Box 191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00000000-0008-0000-0500-0000B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13</xdr:row>
          <xdr:rowOff>180975</xdr:rowOff>
        </xdr:from>
        <xdr:to>
          <xdr:col>1</xdr:col>
          <xdr:colOff>28575</xdr:colOff>
          <xdr:row>15</xdr:row>
          <xdr:rowOff>9525</xdr:rowOff>
        </xdr:to>
        <xdr:sp macro="" textlink="">
          <xdr:nvSpPr>
            <xdr:cNvPr id="5312" name="Check Box 192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5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14</xdr:row>
          <xdr:rowOff>180975</xdr:rowOff>
        </xdr:from>
        <xdr:to>
          <xdr:col>1</xdr:col>
          <xdr:colOff>28575</xdr:colOff>
          <xdr:row>16</xdr:row>
          <xdr:rowOff>9525</xdr:rowOff>
        </xdr:to>
        <xdr:sp macro="" textlink="">
          <xdr:nvSpPr>
            <xdr:cNvPr id="5313" name="Check Box 193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00000000-0008-0000-0500-0000C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15</xdr:row>
          <xdr:rowOff>180975</xdr:rowOff>
        </xdr:from>
        <xdr:to>
          <xdr:col>1</xdr:col>
          <xdr:colOff>28575</xdr:colOff>
          <xdr:row>17</xdr:row>
          <xdr:rowOff>9525</xdr:rowOff>
        </xdr:to>
        <xdr:sp macro="" textlink="">
          <xdr:nvSpPr>
            <xdr:cNvPr id="5314" name="Check Box 194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00000000-0008-0000-0500-0000C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16</xdr:row>
          <xdr:rowOff>180975</xdr:rowOff>
        </xdr:from>
        <xdr:to>
          <xdr:col>1</xdr:col>
          <xdr:colOff>28575</xdr:colOff>
          <xdr:row>18</xdr:row>
          <xdr:rowOff>9525</xdr:rowOff>
        </xdr:to>
        <xdr:sp macro="" textlink="">
          <xdr:nvSpPr>
            <xdr:cNvPr id="5315" name="Check Box 195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00000000-0008-0000-0500-0000C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17</xdr:row>
          <xdr:rowOff>180975</xdr:rowOff>
        </xdr:from>
        <xdr:to>
          <xdr:col>1</xdr:col>
          <xdr:colOff>28575</xdr:colOff>
          <xdr:row>19</xdr:row>
          <xdr:rowOff>9525</xdr:rowOff>
        </xdr:to>
        <xdr:sp macro="" textlink="">
          <xdr:nvSpPr>
            <xdr:cNvPr id="5316" name="Check Box 196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0000000-0008-0000-0500-0000C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18</xdr:row>
          <xdr:rowOff>180975</xdr:rowOff>
        </xdr:from>
        <xdr:to>
          <xdr:col>1</xdr:col>
          <xdr:colOff>28575</xdr:colOff>
          <xdr:row>20</xdr:row>
          <xdr:rowOff>9525</xdr:rowOff>
        </xdr:to>
        <xdr:sp macro="" textlink="">
          <xdr:nvSpPr>
            <xdr:cNvPr id="5317" name="Check Box 197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5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19</xdr:row>
          <xdr:rowOff>180975</xdr:rowOff>
        </xdr:from>
        <xdr:to>
          <xdr:col>1</xdr:col>
          <xdr:colOff>28575</xdr:colOff>
          <xdr:row>21</xdr:row>
          <xdr:rowOff>9525</xdr:rowOff>
        </xdr:to>
        <xdr:sp macro="" textlink="">
          <xdr:nvSpPr>
            <xdr:cNvPr id="5318" name="Check Box 198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5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20</xdr:row>
          <xdr:rowOff>180975</xdr:rowOff>
        </xdr:from>
        <xdr:to>
          <xdr:col>1</xdr:col>
          <xdr:colOff>28575</xdr:colOff>
          <xdr:row>22</xdr:row>
          <xdr:rowOff>9525</xdr:rowOff>
        </xdr:to>
        <xdr:sp macro="" textlink="">
          <xdr:nvSpPr>
            <xdr:cNvPr id="5319" name="Check Box 199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5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21</xdr:row>
          <xdr:rowOff>180975</xdr:rowOff>
        </xdr:from>
        <xdr:to>
          <xdr:col>1</xdr:col>
          <xdr:colOff>28575</xdr:colOff>
          <xdr:row>23</xdr:row>
          <xdr:rowOff>9525</xdr:rowOff>
        </xdr:to>
        <xdr:sp macro="" textlink="">
          <xdr:nvSpPr>
            <xdr:cNvPr id="5320" name="Check Box 200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5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22</xdr:row>
          <xdr:rowOff>180975</xdr:rowOff>
        </xdr:from>
        <xdr:to>
          <xdr:col>1</xdr:col>
          <xdr:colOff>28575</xdr:colOff>
          <xdr:row>24</xdr:row>
          <xdr:rowOff>9525</xdr:rowOff>
        </xdr:to>
        <xdr:sp macro="" textlink="">
          <xdr:nvSpPr>
            <xdr:cNvPr id="5321" name="Check Box 201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5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180975</xdr:rowOff>
        </xdr:from>
        <xdr:to>
          <xdr:col>1</xdr:col>
          <xdr:colOff>28575</xdr:colOff>
          <xdr:row>25</xdr:row>
          <xdr:rowOff>9525</xdr:rowOff>
        </xdr:to>
        <xdr:sp macro="" textlink="">
          <xdr:nvSpPr>
            <xdr:cNvPr id="5322" name="Check Box 202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5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</xdr:row>
          <xdr:rowOff>9525</xdr:rowOff>
        </xdr:from>
        <xdr:to>
          <xdr:col>1</xdr:col>
          <xdr:colOff>28575</xdr:colOff>
          <xdr:row>4</xdr:row>
          <xdr:rowOff>28575</xdr:rowOff>
        </xdr:to>
        <xdr:sp macro="" textlink="">
          <xdr:nvSpPr>
            <xdr:cNvPr id="5323" name="Check Box 203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5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</xdr:row>
          <xdr:rowOff>180975</xdr:rowOff>
        </xdr:from>
        <xdr:to>
          <xdr:col>1</xdr:col>
          <xdr:colOff>28575</xdr:colOff>
          <xdr:row>4</xdr:row>
          <xdr:rowOff>9525</xdr:rowOff>
        </xdr:to>
        <xdr:sp macro="" textlink="">
          <xdr:nvSpPr>
            <xdr:cNvPr id="5324" name="Check Box 204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5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123825</xdr:colOff>
          <xdr:row>3</xdr:row>
          <xdr:rowOff>9525</xdr:rowOff>
        </xdr:from>
        <xdr:ext cx="236935" cy="209550"/>
        <xdr:sp macro="" textlink="">
          <xdr:nvSpPr>
            <xdr:cNvPr id="5325" name="Check Box 205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A41CF0CA-BA6E-4DED-8868-820722575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opLeftCell="A112" zoomScale="240" zoomScaleNormal="240" workbookViewId="0">
      <selection activeCell="C37" sqref="C37"/>
    </sheetView>
  </sheetViews>
  <sheetFormatPr defaultRowHeight="15" x14ac:dyDescent="0.25"/>
  <cols>
    <col min="1" max="1" width="24.42578125" customWidth="1"/>
    <col min="2" max="2" width="23.42578125" customWidth="1"/>
    <col min="3" max="3" width="20.42578125" customWidth="1"/>
  </cols>
  <sheetData>
    <row r="1" spans="1:7" x14ac:dyDescent="0.25">
      <c r="A1" s="9" t="s">
        <v>0</v>
      </c>
      <c r="B1" t="s">
        <v>1</v>
      </c>
    </row>
    <row r="2" spans="1:7" x14ac:dyDescent="0.25">
      <c r="A2" s="9" t="s">
        <v>3</v>
      </c>
      <c r="B2" t="s">
        <v>4</v>
      </c>
    </row>
    <row r="3" spans="1:7" x14ac:dyDescent="0.25">
      <c r="A3" t="s">
        <v>5</v>
      </c>
      <c r="B3" t="s">
        <v>6</v>
      </c>
    </row>
    <row r="4" spans="1:7" x14ac:dyDescent="0.25">
      <c r="A4" t="s">
        <v>7</v>
      </c>
      <c r="B4" t="s">
        <v>8</v>
      </c>
    </row>
    <row r="5" spans="1:7" x14ac:dyDescent="0.25">
      <c r="A5" t="s">
        <v>9</v>
      </c>
      <c r="F5" t="s">
        <v>230</v>
      </c>
    </row>
    <row r="6" spans="1:7" x14ac:dyDescent="0.25">
      <c r="A6" s="9" t="s">
        <v>10</v>
      </c>
      <c r="F6" t="s">
        <v>230</v>
      </c>
    </row>
    <row r="7" spans="1:7" x14ac:dyDescent="0.25">
      <c r="A7" t="s">
        <v>11</v>
      </c>
      <c r="G7" t="s">
        <v>230</v>
      </c>
    </row>
    <row r="8" spans="1:7" x14ac:dyDescent="0.25">
      <c r="A8" t="s">
        <v>12</v>
      </c>
      <c r="G8" t="s">
        <v>230</v>
      </c>
    </row>
    <row r="9" spans="1:7" x14ac:dyDescent="0.25">
      <c r="A9" t="s">
        <v>13</v>
      </c>
    </row>
    <row r="10" spans="1:7" x14ac:dyDescent="0.25">
      <c r="A10" t="s">
        <v>14</v>
      </c>
    </row>
    <row r="11" spans="1:7" x14ac:dyDescent="0.25">
      <c r="A11" t="s">
        <v>15</v>
      </c>
      <c r="B11" t="s">
        <v>16</v>
      </c>
    </row>
    <row r="12" spans="1:7" x14ac:dyDescent="0.25">
      <c r="A12" t="s">
        <v>17</v>
      </c>
    </row>
    <row r="13" spans="1:7" x14ac:dyDescent="0.25">
      <c r="A13" t="s">
        <v>18</v>
      </c>
    </row>
    <row r="14" spans="1:7" x14ac:dyDescent="0.25">
      <c r="A14" t="s">
        <v>20</v>
      </c>
    </row>
    <row r="15" spans="1:7" x14ac:dyDescent="0.25">
      <c r="A15" t="s">
        <v>21</v>
      </c>
      <c r="B15" t="s">
        <v>22</v>
      </c>
    </row>
    <row r="16" spans="1:7" x14ac:dyDescent="0.25">
      <c r="A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</row>
    <row r="20" spans="1:2" x14ac:dyDescent="0.25">
      <c r="A20" t="s">
        <v>35</v>
      </c>
    </row>
    <row r="21" spans="1:2" x14ac:dyDescent="0.25">
      <c r="A21" t="s">
        <v>36</v>
      </c>
    </row>
    <row r="22" spans="1:2" x14ac:dyDescent="0.25">
      <c r="A22" t="s">
        <v>40</v>
      </c>
    </row>
    <row r="23" spans="1:2" x14ac:dyDescent="0.25">
      <c r="A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</row>
    <row r="26" spans="1:2" x14ac:dyDescent="0.25">
      <c r="A26" t="s">
        <v>45</v>
      </c>
    </row>
    <row r="27" spans="1:2" x14ac:dyDescent="0.25">
      <c r="A27" t="s">
        <v>46</v>
      </c>
    </row>
    <row r="28" spans="1:2" x14ac:dyDescent="0.25">
      <c r="A28" t="s">
        <v>47</v>
      </c>
    </row>
    <row r="29" spans="1:2" x14ac:dyDescent="0.25">
      <c r="A29" t="s">
        <v>48</v>
      </c>
    </row>
    <row r="30" spans="1:2" x14ac:dyDescent="0.25">
      <c r="A30" t="s">
        <v>49</v>
      </c>
    </row>
    <row r="31" spans="1:2" x14ac:dyDescent="0.25">
      <c r="A31" t="s">
        <v>51</v>
      </c>
    </row>
    <row r="32" spans="1:2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s="9" t="s">
        <v>56</v>
      </c>
    </row>
    <row r="37" spans="1:1" x14ac:dyDescent="0.25">
      <c r="A37" t="s">
        <v>57</v>
      </c>
    </row>
    <row r="38" spans="1:1" x14ac:dyDescent="0.25">
      <c r="A38" t="s">
        <v>59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s="11" t="s">
        <v>66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75</v>
      </c>
    </row>
    <row r="52" spans="1:1" x14ac:dyDescent="0.25">
      <c r="A52" t="s">
        <v>80</v>
      </c>
    </row>
    <row r="53" spans="1:1" x14ac:dyDescent="0.25">
      <c r="A53" t="s">
        <v>81</v>
      </c>
    </row>
    <row r="54" spans="1:1" x14ac:dyDescent="0.25">
      <c r="A54" t="s">
        <v>82</v>
      </c>
    </row>
    <row r="55" spans="1:1" x14ac:dyDescent="0.25">
      <c r="A55" t="s">
        <v>84</v>
      </c>
    </row>
    <row r="56" spans="1:1" x14ac:dyDescent="0.25">
      <c r="A56" s="9" t="s">
        <v>86</v>
      </c>
    </row>
    <row r="57" spans="1:1" x14ac:dyDescent="0.25">
      <c r="A57" t="s">
        <v>90</v>
      </c>
    </row>
    <row r="58" spans="1:1" x14ac:dyDescent="0.25">
      <c r="A58" t="s">
        <v>91</v>
      </c>
    </row>
    <row r="59" spans="1:1" x14ac:dyDescent="0.25">
      <c r="A59" t="s">
        <v>92</v>
      </c>
    </row>
    <row r="60" spans="1:1" x14ac:dyDescent="0.25">
      <c r="A60" t="s">
        <v>93</v>
      </c>
    </row>
    <row r="61" spans="1:1" x14ac:dyDescent="0.25">
      <c r="A61" t="s">
        <v>94</v>
      </c>
    </row>
    <row r="62" spans="1:1" x14ac:dyDescent="0.25">
      <c r="A62" t="s">
        <v>95</v>
      </c>
    </row>
    <row r="63" spans="1:1" x14ac:dyDescent="0.25">
      <c r="A63" t="s">
        <v>97</v>
      </c>
    </row>
    <row r="64" spans="1:1" x14ac:dyDescent="0.25">
      <c r="A64" t="s">
        <v>98</v>
      </c>
    </row>
    <row r="65" spans="1:1" x14ac:dyDescent="0.25">
      <c r="A65" s="9" t="s">
        <v>100</v>
      </c>
    </row>
    <row r="66" spans="1:1" x14ac:dyDescent="0.25">
      <c r="A66" t="s">
        <v>101</v>
      </c>
    </row>
    <row r="67" spans="1:1" x14ac:dyDescent="0.25">
      <c r="A67" t="s">
        <v>111</v>
      </c>
    </row>
    <row r="68" spans="1:1" x14ac:dyDescent="0.25">
      <c r="A68" t="s">
        <v>114</v>
      </c>
    </row>
    <row r="69" spans="1:1" x14ac:dyDescent="0.25">
      <c r="A69" s="9" t="s">
        <v>116</v>
      </c>
    </row>
    <row r="70" spans="1:1" x14ac:dyDescent="0.25">
      <c r="A70" s="9" t="s">
        <v>117</v>
      </c>
    </row>
    <row r="71" spans="1:1" x14ac:dyDescent="0.25">
      <c r="A71" t="s">
        <v>119</v>
      </c>
    </row>
    <row r="72" spans="1:1" x14ac:dyDescent="0.25">
      <c r="A72" s="9" t="s">
        <v>122</v>
      </c>
    </row>
    <row r="73" spans="1:1" x14ac:dyDescent="0.25">
      <c r="A73" t="s">
        <v>129</v>
      </c>
    </row>
    <row r="74" spans="1:1" x14ac:dyDescent="0.25">
      <c r="A74" t="s">
        <v>131</v>
      </c>
    </row>
    <row r="75" spans="1:1" x14ac:dyDescent="0.25">
      <c r="A75" t="s">
        <v>132</v>
      </c>
    </row>
    <row r="76" spans="1:1" x14ac:dyDescent="0.25">
      <c r="A76" t="s">
        <v>133</v>
      </c>
    </row>
    <row r="77" spans="1:1" x14ac:dyDescent="0.25">
      <c r="A77" s="9" t="s">
        <v>134</v>
      </c>
    </row>
    <row r="78" spans="1:1" x14ac:dyDescent="0.25">
      <c r="A78" t="s">
        <v>135</v>
      </c>
    </row>
    <row r="79" spans="1:1" x14ac:dyDescent="0.25">
      <c r="A79" t="s">
        <v>136</v>
      </c>
    </row>
    <row r="80" spans="1:1" x14ac:dyDescent="0.25">
      <c r="A80" t="s">
        <v>137</v>
      </c>
    </row>
    <row r="81" spans="1:1" x14ac:dyDescent="0.25">
      <c r="A81" t="s">
        <v>144</v>
      </c>
    </row>
    <row r="82" spans="1:1" x14ac:dyDescent="0.25">
      <c r="A82" t="s">
        <v>145</v>
      </c>
    </row>
    <row r="83" spans="1:1" x14ac:dyDescent="0.25">
      <c r="A83" t="s">
        <v>148</v>
      </c>
    </row>
    <row r="84" spans="1:1" x14ac:dyDescent="0.25">
      <c r="A84" t="s">
        <v>155</v>
      </c>
    </row>
    <row r="85" spans="1:1" x14ac:dyDescent="0.25">
      <c r="A85" t="s">
        <v>159</v>
      </c>
    </row>
    <row r="86" spans="1:1" x14ac:dyDescent="0.25">
      <c r="A86" t="s">
        <v>160</v>
      </c>
    </row>
    <row r="87" spans="1:1" x14ac:dyDescent="0.25">
      <c r="A87" s="9">
        <v>22</v>
      </c>
    </row>
    <row r="88" spans="1:1" x14ac:dyDescent="0.25">
      <c r="A88" s="9" t="s">
        <v>172</v>
      </c>
    </row>
    <row r="89" spans="1:1" x14ac:dyDescent="0.25">
      <c r="A89" s="9" t="s">
        <v>173</v>
      </c>
    </row>
    <row r="90" spans="1:1" x14ac:dyDescent="0.25">
      <c r="A90" t="s">
        <v>174</v>
      </c>
    </row>
    <row r="91" spans="1:1" x14ac:dyDescent="0.25">
      <c r="A91" t="s">
        <v>176</v>
      </c>
    </row>
    <row r="92" spans="1:1" x14ac:dyDescent="0.25">
      <c r="A92" t="s">
        <v>179</v>
      </c>
    </row>
    <row r="93" spans="1:1" x14ac:dyDescent="0.25">
      <c r="A93" t="s">
        <v>180</v>
      </c>
    </row>
    <row r="94" spans="1:1" x14ac:dyDescent="0.25">
      <c r="A94" t="s">
        <v>181</v>
      </c>
    </row>
    <row r="95" spans="1:1" x14ac:dyDescent="0.25">
      <c r="A95" t="s">
        <v>186</v>
      </c>
    </row>
    <row r="96" spans="1:1" x14ac:dyDescent="0.25">
      <c r="A96" t="s">
        <v>188</v>
      </c>
    </row>
    <row r="97" spans="1:1" x14ac:dyDescent="0.25">
      <c r="A97" t="s">
        <v>189</v>
      </c>
    </row>
    <row r="98" spans="1:1" x14ac:dyDescent="0.25">
      <c r="A98" t="s">
        <v>192</v>
      </c>
    </row>
    <row r="99" spans="1:1" x14ac:dyDescent="0.25">
      <c r="A99" t="s">
        <v>199</v>
      </c>
    </row>
    <row r="100" spans="1:1" x14ac:dyDescent="0.25">
      <c r="A100" t="s">
        <v>212</v>
      </c>
    </row>
    <row r="101" spans="1:1" x14ac:dyDescent="0.25">
      <c r="A101" t="s">
        <v>218</v>
      </c>
    </row>
    <row r="102" spans="1:1" x14ac:dyDescent="0.25">
      <c r="A102" t="s">
        <v>221</v>
      </c>
    </row>
    <row r="103" spans="1:1" x14ac:dyDescent="0.25">
      <c r="A103" t="s">
        <v>225</v>
      </c>
    </row>
    <row r="104" spans="1:1" x14ac:dyDescent="0.25">
      <c r="A104" t="s">
        <v>17</v>
      </c>
    </row>
    <row r="105" spans="1:1" x14ac:dyDescent="0.25">
      <c r="A105" t="s">
        <v>237</v>
      </c>
    </row>
    <row r="106" spans="1:1" x14ac:dyDescent="0.25">
      <c r="A106" t="s">
        <v>238</v>
      </c>
    </row>
    <row r="107" spans="1:1" x14ac:dyDescent="0.25">
      <c r="A107" t="s">
        <v>239</v>
      </c>
    </row>
    <row r="108" spans="1:1" x14ac:dyDescent="0.25">
      <c r="A108" t="s">
        <v>240</v>
      </c>
    </row>
    <row r="109" spans="1:1" x14ac:dyDescent="0.25">
      <c r="A109" t="s">
        <v>241</v>
      </c>
    </row>
    <row r="110" spans="1:1" x14ac:dyDescent="0.25">
      <c r="A110" t="s">
        <v>242</v>
      </c>
    </row>
    <row r="111" spans="1:1" x14ac:dyDescent="0.25">
      <c r="A111" t="s">
        <v>243</v>
      </c>
    </row>
    <row r="112" spans="1:1" x14ac:dyDescent="0.25">
      <c r="A112" t="s">
        <v>244</v>
      </c>
    </row>
    <row r="113" spans="1:1" x14ac:dyDescent="0.25">
      <c r="A113" s="9" t="s">
        <v>245</v>
      </c>
    </row>
    <row r="114" spans="1:1" x14ac:dyDescent="0.25">
      <c r="A114" t="s">
        <v>246</v>
      </c>
    </row>
    <row r="115" spans="1:1" x14ac:dyDescent="0.25">
      <c r="A115" t="s">
        <v>256</v>
      </c>
    </row>
    <row r="116" spans="1:1" x14ac:dyDescent="0.25">
      <c r="A116" t="s">
        <v>247</v>
      </c>
    </row>
    <row r="117" spans="1:1" x14ac:dyDescent="0.25">
      <c r="A117" s="9" t="s">
        <v>254</v>
      </c>
    </row>
    <row r="118" spans="1:1" x14ac:dyDescent="0.25">
      <c r="A118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zoomScaleNormal="100" workbookViewId="0">
      <selection activeCell="I6" sqref="I6"/>
    </sheetView>
  </sheetViews>
  <sheetFormatPr defaultRowHeight="15" x14ac:dyDescent="0.25"/>
  <cols>
    <col min="1" max="1" width="20.85546875" customWidth="1"/>
    <col min="4" max="4" width="21.5703125" customWidth="1"/>
  </cols>
  <sheetData>
    <row r="1" spans="1:2" x14ac:dyDescent="0.25">
      <c r="A1" s="10" t="s">
        <v>2</v>
      </c>
    </row>
    <row r="2" spans="1:2" x14ac:dyDescent="0.25">
      <c r="A2" t="s">
        <v>9</v>
      </c>
    </row>
    <row r="3" spans="1:2" x14ac:dyDescent="0.25">
      <c r="A3" t="s">
        <v>14</v>
      </c>
    </row>
    <row r="4" spans="1:2" x14ac:dyDescent="0.25">
      <c r="A4" t="s">
        <v>19</v>
      </c>
    </row>
    <row r="5" spans="1:2" x14ac:dyDescent="0.25">
      <c r="A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33</v>
      </c>
    </row>
    <row r="8" spans="1:2" x14ac:dyDescent="0.25">
      <c r="A8" t="s">
        <v>34</v>
      </c>
    </row>
    <row r="9" spans="1:2" x14ac:dyDescent="0.25">
      <c r="A9" t="s">
        <v>37</v>
      </c>
    </row>
    <row r="10" spans="1:2" x14ac:dyDescent="0.25">
      <c r="A10" t="s">
        <v>38</v>
      </c>
    </row>
    <row r="11" spans="1:2" x14ac:dyDescent="0.25">
      <c r="A11" t="s">
        <v>39</v>
      </c>
    </row>
    <row r="12" spans="1:2" x14ac:dyDescent="0.25">
      <c r="A12" t="s">
        <v>58</v>
      </c>
    </row>
    <row r="13" spans="1:2" x14ac:dyDescent="0.25">
      <c r="A13" t="s">
        <v>60</v>
      </c>
    </row>
    <row r="14" spans="1:2" x14ac:dyDescent="0.25">
      <c r="A14" t="s">
        <v>67</v>
      </c>
    </row>
    <row r="15" spans="1:2" x14ac:dyDescent="0.25">
      <c r="A15" t="s">
        <v>74</v>
      </c>
    </row>
    <row r="16" spans="1:2" x14ac:dyDescent="0.25">
      <c r="A16" t="s">
        <v>76</v>
      </c>
    </row>
    <row r="17" spans="1:1" x14ac:dyDescent="0.25">
      <c r="A17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0" spans="1:1" x14ac:dyDescent="0.25">
      <c r="A20" t="s">
        <v>83</v>
      </c>
    </row>
    <row r="21" spans="1:1" x14ac:dyDescent="0.25">
      <c r="A21" s="9" t="s">
        <v>85</v>
      </c>
    </row>
    <row r="22" spans="1:1" x14ac:dyDescent="0.25">
      <c r="A22" t="s">
        <v>228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227</v>
      </c>
    </row>
    <row r="26" spans="1:1" x14ac:dyDescent="0.25">
      <c r="A26" t="s">
        <v>96</v>
      </c>
    </row>
    <row r="27" spans="1:1" x14ac:dyDescent="0.25">
      <c r="A27" s="9" t="s">
        <v>99</v>
      </c>
    </row>
    <row r="28" spans="1:1" x14ac:dyDescent="0.25">
      <c r="A28" t="s">
        <v>102</v>
      </c>
    </row>
    <row r="29" spans="1:1" x14ac:dyDescent="0.25">
      <c r="A29" t="s">
        <v>103</v>
      </c>
    </row>
    <row r="30" spans="1:1" x14ac:dyDescent="0.25">
      <c r="A30" s="9" t="s">
        <v>105</v>
      </c>
    </row>
    <row r="31" spans="1:1" x14ac:dyDescent="0.25">
      <c r="A31" t="s">
        <v>106</v>
      </c>
    </row>
    <row r="32" spans="1:1" x14ac:dyDescent="0.25">
      <c r="A32" t="s">
        <v>107</v>
      </c>
    </row>
    <row r="33" spans="1:1" x14ac:dyDescent="0.25">
      <c r="A33" t="s">
        <v>108</v>
      </c>
    </row>
    <row r="34" spans="1:1" x14ac:dyDescent="0.25">
      <c r="A34" t="s">
        <v>109</v>
      </c>
    </row>
    <row r="35" spans="1:1" x14ac:dyDescent="0.25">
      <c r="A35" t="s">
        <v>110</v>
      </c>
    </row>
    <row r="36" spans="1:1" x14ac:dyDescent="0.25">
      <c r="A36" s="9" t="s">
        <v>112</v>
      </c>
    </row>
    <row r="37" spans="1:1" x14ac:dyDescent="0.25">
      <c r="A37" t="s">
        <v>113</v>
      </c>
    </row>
    <row r="38" spans="1:1" x14ac:dyDescent="0.25">
      <c r="A38" t="s">
        <v>115</v>
      </c>
    </row>
    <row r="39" spans="1:1" x14ac:dyDescent="0.25">
      <c r="A39" t="s">
        <v>121</v>
      </c>
    </row>
    <row r="40" spans="1:1" x14ac:dyDescent="0.25">
      <c r="A40" t="s">
        <v>120</v>
      </c>
    </row>
    <row r="41" spans="1:1" x14ac:dyDescent="0.25">
      <c r="A41" t="s">
        <v>123</v>
      </c>
    </row>
    <row r="42" spans="1:1" x14ac:dyDescent="0.25">
      <c r="A42" t="s">
        <v>124</v>
      </c>
    </row>
    <row r="43" spans="1:1" x14ac:dyDescent="0.25">
      <c r="A43" t="s">
        <v>125</v>
      </c>
    </row>
    <row r="44" spans="1:1" x14ac:dyDescent="0.25">
      <c r="A44" t="s">
        <v>128</v>
      </c>
    </row>
    <row r="45" spans="1:1" x14ac:dyDescent="0.25">
      <c r="A45" t="s">
        <v>138</v>
      </c>
    </row>
    <row r="46" spans="1:1" x14ac:dyDescent="0.25">
      <c r="A46" t="s">
        <v>139</v>
      </c>
    </row>
    <row r="47" spans="1:1" x14ac:dyDescent="0.25">
      <c r="A47" t="s">
        <v>140</v>
      </c>
    </row>
    <row r="48" spans="1:1" x14ac:dyDescent="0.25">
      <c r="A48" t="s">
        <v>143</v>
      </c>
    </row>
    <row r="49" spans="1:1" x14ac:dyDescent="0.25">
      <c r="A49" t="s">
        <v>146</v>
      </c>
    </row>
    <row r="50" spans="1:1" x14ac:dyDescent="0.25">
      <c r="A50" t="s">
        <v>147</v>
      </c>
    </row>
    <row r="51" spans="1:1" x14ac:dyDescent="0.25">
      <c r="A51" t="s">
        <v>150</v>
      </c>
    </row>
    <row r="52" spans="1:1" x14ac:dyDescent="0.25">
      <c r="A52" t="s">
        <v>151</v>
      </c>
    </row>
    <row r="53" spans="1:1" x14ac:dyDescent="0.25">
      <c r="A53" t="s">
        <v>152</v>
      </c>
    </row>
    <row r="54" spans="1:1" x14ac:dyDescent="0.25">
      <c r="A54" t="s">
        <v>153</v>
      </c>
    </row>
    <row r="55" spans="1:1" x14ac:dyDescent="0.25">
      <c r="A55" t="s">
        <v>156</v>
      </c>
    </row>
    <row r="56" spans="1:1" x14ac:dyDescent="0.25">
      <c r="A56" t="s">
        <v>68</v>
      </c>
    </row>
    <row r="57" spans="1:1" x14ac:dyDescent="0.25">
      <c r="A57" t="s">
        <v>158</v>
      </c>
    </row>
    <row r="58" spans="1:1" x14ac:dyDescent="0.25">
      <c r="A58" t="s">
        <v>161</v>
      </c>
    </row>
    <row r="59" spans="1:1" x14ac:dyDescent="0.25">
      <c r="A59" t="s">
        <v>162</v>
      </c>
    </row>
    <row r="60" spans="1:1" x14ac:dyDescent="0.25">
      <c r="A60" t="s">
        <v>163</v>
      </c>
    </row>
    <row r="61" spans="1:1" x14ac:dyDescent="0.25">
      <c r="A61" t="s">
        <v>169</v>
      </c>
    </row>
    <row r="62" spans="1:1" x14ac:dyDescent="0.25">
      <c r="A62" t="s">
        <v>170</v>
      </c>
    </row>
    <row r="63" spans="1:1" x14ac:dyDescent="0.25">
      <c r="A63" t="s">
        <v>171</v>
      </c>
    </row>
    <row r="64" spans="1:1" x14ac:dyDescent="0.25">
      <c r="A64" t="s">
        <v>177</v>
      </c>
    </row>
    <row r="65" spans="1:1" x14ac:dyDescent="0.25">
      <c r="A65" t="s">
        <v>183</v>
      </c>
    </row>
    <row r="66" spans="1:1" x14ac:dyDescent="0.25">
      <c r="A66" t="s">
        <v>200</v>
      </c>
    </row>
    <row r="67" spans="1:1" x14ac:dyDescent="0.25">
      <c r="A67" t="s">
        <v>201</v>
      </c>
    </row>
    <row r="68" spans="1:1" x14ac:dyDescent="0.25">
      <c r="A68" t="s">
        <v>203</v>
      </c>
    </row>
    <row r="69" spans="1:1" x14ac:dyDescent="0.25">
      <c r="A69" t="s">
        <v>204</v>
      </c>
    </row>
    <row r="70" spans="1:1" x14ac:dyDescent="0.25">
      <c r="A70" t="s">
        <v>206</v>
      </c>
    </row>
    <row r="71" spans="1:1" x14ac:dyDescent="0.25">
      <c r="A71" t="s">
        <v>209</v>
      </c>
    </row>
    <row r="72" spans="1:1" x14ac:dyDescent="0.25">
      <c r="A72" t="s">
        <v>210</v>
      </c>
    </row>
    <row r="73" spans="1:1" x14ac:dyDescent="0.25">
      <c r="A73" t="s">
        <v>211</v>
      </c>
    </row>
    <row r="74" spans="1:1" x14ac:dyDescent="0.25">
      <c r="A74" t="s">
        <v>213</v>
      </c>
    </row>
    <row r="75" spans="1:1" x14ac:dyDescent="0.25">
      <c r="A75" t="s">
        <v>214</v>
      </c>
    </row>
    <row r="76" spans="1:1" x14ac:dyDescent="0.25">
      <c r="A76" t="s">
        <v>215</v>
      </c>
    </row>
    <row r="77" spans="1:1" x14ac:dyDescent="0.25">
      <c r="A77" t="s">
        <v>220</v>
      </c>
    </row>
    <row r="78" spans="1:1" x14ac:dyDescent="0.25">
      <c r="A78" t="s">
        <v>222</v>
      </c>
    </row>
    <row r="79" spans="1:1" x14ac:dyDescent="0.25">
      <c r="A79" t="s">
        <v>224</v>
      </c>
    </row>
    <row r="80" spans="1:1" x14ac:dyDescent="0.25">
      <c r="A80" t="s">
        <v>249</v>
      </c>
    </row>
    <row r="81" spans="1:1" x14ac:dyDescent="0.25">
      <c r="A81" t="s">
        <v>250</v>
      </c>
    </row>
    <row r="82" spans="1:1" x14ac:dyDescent="0.25">
      <c r="A82" t="s">
        <v>251</v>
      </c>
    </row>
    <row r="83" spans="1:1" x14ac:dyDescent="0.25">
      <c r="A83" t="s">
        <v>252</v>
      </c>
    </row>
    <row r="84" spans="1:1" x14ac:dyDescent="0.25">
      <c r="A84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A34" sqref="A34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t="s">
        <v>50</v>
      </c>
    </row>
    <row r="3" spans="1:1" x14ac:dyDescent="0.25">
      <c r="A3" t="s">
        <v>87</v>
      </c>
    </row>
    <row r="4" spans="1:1" x14ac:dyDescent="0.25">
      <c r="A4" t="s">
        <v>104</v>
      </c>
    </row>
    <row r="5" spans="1:1" x14ac:dyDescent="0.25">
      <c r="A5" t="s">
        <v>127</v>
      </c>
    </row>
    <row r="6" spans="1:1" x14ac:dyDescent="0.25">
      <c r="A6" t="s">
        <v>130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154</v>
      </c>
    </row>
    <row r="10" spans="1:1" x14ac:dyDescent="0.25">
      <c r="A10" t="s">
        <v>164</v>
      </c>
    </row>
    <row r="11" spans="1:1" x14ac:dyDescent="0.25">
      <c r="A11" t="s">
        <v>166</v>
      </c>
    </row>
    <row r="12" spans="1:1" x14ac:dyDescent="0.25">
      <c r="A12" t="s">
        <v>167</v>
      </c>
    </row>
    <row r="13" spans="1:1" x14ac:dyDescent="0.25">
      <c r="A13" t="s">
        <v>182</v>
      </c>
    </row>
    <row r="14" spans="1:1" x14ac:dyDescent="0.25">
      <c r="A14" s="1" t="s">
        <v>187</v>
      </c>
    </row>
    <row r="15" spans="1:1" x14ac:dyDescent="0.25">
      <c r="A15" s="1" t="s">
        <v>197</v>
      </c>
    </row>
    <row r="16" spans="1:1" x14ac:dyDescent="0.25">
      <c r="A16" t="s">
        <v>205</v>
      </c>
    </row>
    <row r="17" spans="1:1" x14ac:dyDescent="0.25">
      <c r="A17" t="s">
        <v>207</v>
      </c>
    </row>
    <row r="18" spans="1:1" x14ac:dyDescent="0.25">
      <c r="A18" t="s">
        <v>208</v>
      </c>
    </row>
    <row r="19" spans="1:1" x14ac:dyDescent="0.25">
      <c r="A19" t="s">
        <v>217</v>
      </c>
    </row>
    <row r="20" spans="1:1" x14ac:dyDescent="0.25">
      <c r="A20" t="s">
        <v>219</v>
      </c>
    </row>
    <row r="21" spans="1:1" x14ac:dyDescent="0.25">
      <c r="A21" t="s">
        <v>223</v>
      </c>
    </row>
    <row r="22" spans="1:1" x14ac:dyDescent="0.25">
      <c r="A22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selection activeCell="A25" sqref="A25"/>
    </sheetView>
  </sheetViews>
  <sheetFormatPr defaultRowHeight="15" x14ac:dyDescent="0.25"/>
  <cols>
    <col min="1" max="1" width="27.42578125" customWidth="1"/>
    <col min="2" max="2" width="28.5703125" customWidth="1"/>
  </cols>
  <sheetData>
    <row r="1" spans="1:1" x14ac:dyDescent="0.25">
      <c r="A1" t="s">
        <v>118</v>
      </c>
    </row>
    <row r="2" spans="1:1" x14ac:dyDescent="0.25">
      <c r="A2" t="s">
        <v>126</v>
      </c>
    </row>
    <row r="3" spans="1:1" x14ac:dyDescent="0.25">
      <c r="A3" t="s">
        <v>149</v>
      </c>
    </row>
    <row r="4" spans="1:1" x14ac:dyDescent="0.25">
      <c r="A4" t="s">
        <v>229</v>
      </c>
    </row>
    <row r="5" spans="1:1" x14ac:dyDescent="0.25">
      <c r="A5" t="s">
        <v>157</v>
      </c>
    </row>
    <row r="6" spans="1:1" x14ac:dyDescent="0.25">
      <c r="A6" t="s">
        <v>165</v>
      </c>
    </row>
    <row r="7" spans="1:1" x14ac:dyDescent="0.25">
      <c r="A7" s="1" t="s">
        <v>168</v>
      </c>
    </row>
    <row r="8" spans="1:1" x14ac:dyDescent="0.25">
      <c r="A8" t="s">
        <v>175</v>
      </c>
    </row>
    <row r="9" spans="1:1" x14ac:dyDescent="0.25">
      <c r="A9" t="s">
        <v>178</v>
      </c>
    </row>
    <row r="10" spans="1:1" x14ac:dyDescent="0.25">
      <c r="A10" t="s">
        <v>184</v>
      </c>
    </row>
    <row r="11" spans="1:1" x14ac:dyDescent="0.25">
      <c r="A11" t="s">
        <v>185</v>
      </c>
    </row>
    <row r="12" spans="1:1" x14ac:dyDescent="0.25">
      <c r="A12" s="1" t="s">
        <v>190</v>
      </c>
    </row>
    <row r="13" spans="1:1" x14ac:dyDescent="0.25">
      <c r="A13" t="s">
        <v>191</v>
      </c>
    </row>
    <row r="14" spans="1:1" x14ac:dyDescent="0.25">
      <c r="A14" t="s">
        <v>193</v>
      </c>
    </row>
    <row r="15" spans="1:1" x14ac:dyDescent="0.25">
      <c r="A15" s="1" t="s">
        <v>194</v>
      </c>
    </row>
    <row r="16" spans="1:1" x14ac:dyDescent="0.25">
      <c r="A16" s="1" t="s">
        <v>195</v>
      </c>
    </row>
    <row r="17" spans="1:1" x14ac:dyDescent="0.25">
      <c r="A17" s="1" t="s">
        <v>196</v>
      </c>
    </row>
    <row r="18" spans="1:1" x14ac:dyDescent="0.25">
      <c r="A18" s="1" t="s">
        <v>198</v>
      </c>
    </row>
    <row r="19" spans="1:1" x14ac:dyDescent="0.25">
      <c r="A19" s="1" t="s">
        <v>193</v>
      </c>
    </row>
    <row r="20" spans="1:1" x14ac:dyDescent="0.25">
      <c r="A20" s="1" t="s">
        <v>202</v>
      </c>
    </row>
    <row r="21" spans="1:1" x14ac:dyDescent="0.25">
      <c r="A21" s="1" t="s">
        <v>216</v>
      </c>
    </row>
    <row r="22" spans="1:1" x14ac:dyDescent="0.25">
      <c r="A22" s="1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tabSelected="1" topLeftCell="A3" zoomScale="160" zoomScaleNormal="160" workbookViewId="0">
      <selection activeCell="F15" sqref="F15"/>
    </sheetView>
  </sheetViews>
  <sheetFormatPr defaultRowHeight="15" x14ac:dyDescent="0.25"/>
  <cols>
    <col min="1" max="1" width="4.42578125" customWidth="1"/>
    <col min="2" max="2" width="21.5703125" customWidth="1"/>
    <col min="3" max="3" width="4.28515625" customWidth="1"/>
    <col min="4" max="4" width="29.85546875" customWidth="1"/>
    <col min="5" max="5" width="5.28515625" customWidth="1"/>
    <col min="6" max="6" width="26.42578125" customWidth="1"/>
    <col min="7" max="7" width="5.85546875" customWidth="1"/>
    <col min="8" max="8" width="23.7109375" customWidth="1"/>
    <col min="10" max="10" width="12.28515625" customWidth="1"/>
  </cols>
  <sheetData>
    <row r="1" spans="1:10" x14ac:dyDescent="0.25">
      <c r="A1" t="s">
        <v>231</v>
      </c>
      <c r="D1" t="s">
        <v>257</v>
      </c>
    </row>
    <row r="2" spans="1:10" x14ac:dyDescent="0.25">
      <c r="J2">
        <v>9</v>
      </c>
    </row>
    <row r="3" spans="1:10" x14ac:dyDescent="0.25">
      <c r="B3" s="4">
        <v>9</v>
      </c>
      <c r="D3" s="4">
        <v>10</v>
      </c>
      <c r="E3" s="3"/>
      <c r="F3" s="4">
        <v>11</v>
      </c>
      <c r="H3" t="s">
        <v>232</v>
      </c>
    </row>
    <row r="4" spans="1:10" x14ac:dyDescent="0.25">
      <c r="B4" s="2" t="str">
        <f ca="1">INDEX('9'!$A$1:$A$118,RANDBETWEEN(1,ROWS($A$1:$A$118)),1)</f>
        <v>The last kiss</v>
      </c>
      <c r="D4" s="2" t="str">
        <f ca="1">INDEX('10'!$A$1:$A$84,RANDBETWEEN(2,ROWS('10'!$A$1:$A$84)),1)</f>
        <v>Calcutta</v>
      </c>
      <c r="F4" s="2" t="str">
        <f ca="1">INDEX('11'!$A$1:$A$22,RANDBETWEEN(1,ROWS('11'!A1:A22)),1)</f>
        <v>Popular</v>
      </c>
      <c r="H4" s="2" t="str">
        <f ca="1">INDEX('12-13'!$A$1:$A$22,RANDBETWEEN(1,ROWS('12-13'!$A$1:$A$22)),1)</f>
        <v>Garden State</v>
      </c>
    </row>
    <row r="5" spans="1:10" x14ac:dyDescent="0.25">
      <c r="B5" s="2" t="str">
        <f ca="1">INDEX('9'!$A$1:$A$118,RANDBETWEEN(1,ROWS($A$1:$A$118)),1)</f>
        <v>5,6,7,8</v>
      </c>
      <c r="D5" s="2" t="str">
        <f ca="1">INDEX('10'!$A$1:$A$84,RANDBETWEEN(1,ROWS('10'!$A$1:$A$84)),1)</f>
        <v>Beautiful Life</v>
      </c>
      <c r="F5" s="2" t="str">
        <f ca="1">INDEX('11'!$A$1:$A$22,RANDBETWEEN(1,ROWS('11'!A2:A23)),1)</f>
        <v>Do-bi-di-boy</v>
      </c>
      <c r="H5" s="2" t="str">
        <f ca="1">INDEX('12-13'!$A$1:$A$22,RANDBETWEEN(1,ROWS('12-13'!$A$1:$A$22)),1)</f>
        <v>Garden State</v>
      </c>
    </row>
    <row r="6" spans="1:10" x14ac:dyDescent="0.25">
      <c r="B6" s="2" t="str">
        <f ca="1">INDEX('9'!$A$1:$A$118,RANDBETWEEN(1,ROWS($A$1:$A$118)),1)</f>
        <v>TechLo</v>
      </c>
      <c r="D6" s="2" t="str">
        <f ca="1">INDEX('10'!$A$1:$A$84,RANDBETWEEN(1,ROWS('10'!$A$1:$A$84)),1)</f>
        <v>Remember december</v>
      </c>
      <c r="F6" s="2" t="str">
        <f ca="1">INDEX('11'!$A$1:$A$22,RANDBETWEEN(1,ROWS('11'!A3:A24)),1)</f>
        <v>Engel der Nacht</v>
      </c>
      <c r="H6" s="2" t="str">
        <f ca="1">INDEX('12-13'!$A$1:$A$22,RANDBETWEEN(1,ROWS('12-13'!$A$1:$A$22)),1)</f>
        <v>Blue Sunshine</v>
      </c>
    </row>
    <row r="7" spans="1:10" x14ac:dyDescent="0.25">
      <c r="B7" s="2" t="str">
        <f ca="1">INDEX('9'!$A$1:$A$118,RANDBETWEEN(1,ROWS($A$1:$A$118)),1)</f>
        <v>World of fantasy</v>
      </c>
      <c r="D7" s="2" t="str">
        <f ca="1">INDEX('10'!$A$1:$A$84,RANDBETWEEN(1,ROWS('10'!$A$1:$A$84)),1)</f>
        <v>I wanna be wild</v>
      </c>
      <c r="F7" s="2" t="str">
        <f ca="1">INDEX('11'!$A$1:$A$22,RANDBETWEEN(1,ROWS('11'!A4:A25)),1)</f>
        <v>Allez ola ole</v>
      </c>
      <c r="H7" s="2" t="str">
        <f ca="1">INDEX('12-13'!$A$1:$A$22,RANDBETWEEN(1,ROWS('12-13'!$A$1:$A$22)),1)</f>
        <v>Emerge</v>
      </c>
    </row>
    <row r="8" spans="1:10" x14ac:dyDescent="0.25">
      <c r="B8" s="2" t="str">
        <f ca="1">INDEX('9'!$A$1:$A$118,RANDBETWEEN(1,ROWS($A$1:$A$118)),1)</f>
        <v>Lover on the line</v>
      </c>
      <c r="D8" s="2" t="str">
        <f ca="1">INDEX('10'!$A$1:$A$84,RANDBETWEEN(1,ROWS('10'!$A$1:$A$84)),1)</f>
        <v>King Kong</v>
      </c>
      <c r="F8" s="2" t="str">
        <f ca="1">INDEX('11'!$A$1:$A$22,RANDBETWEEN(1,ROWS('11'!A5:A26)),1)</f>
        <v>Do-bi-di-boy</v>
      </c>
      <c r="H8" s="2" t="str">
        <f ca="1">INDEX('12-13'!$A$1:$A$22,RANDBETWEEN(1,ROWS('12-13'!$A$1:$A$22)),1)</f>
        <v>Garden State</v>
      </c>
    </row>
    <row r="9" spans="1:10" x14ac:dyDescent="0.25">
      <c r="B9" s="2" t="str">
        <f ca="1">INDEX('9'!$A$1:$A$118,RANDBETWEEN(1,ROWS($A$1:$A$118)),1)</f>
        <v>Lemmings on the run</v>
      </c>
      <c r="D9" s="2" t="str">
        <f ca="1">INDEX('10'!$A$1:$A$84,RANDBETWEEN(1,ROWS('10'!$A$1:$A$84)),1)</f>
        <v>Calendar Girl</v>
      </c>
      <c r="F9" s="2" t="str">
        <f ca="1">INDEX('11'!$A$1:$A$22,RANDBETWEEN(1,ROWS('11'!A6:A27)),1)</f>
        <v>Stunt flying</v>
      </c>
    </row>
    <row r="10" spans="1:10" x14ac:dyDescent="0.25">
      <c r="B10" s="2" t="str">
        <f ca="1">INDEX('9'!$A$1:$A$118,RANDBETWEEN(1,ROWS($A$1:$A$118)),1)</f>
        <v>You are my dream</v>
      </c>
      <c r="D10" s="2" t="str">
        <f ca="1">INDEX('10'!$A$1:$A$84,RANDBETWEEN(1,ROWS('10'!$A$1:$A$84)),1)</f>
        <v>Charlene Rock mix</v>
      </c>
      <c r="F10" s="2" t="str">
        <f ca="1">INDEX('11'!$A$1:$A$22,RANDBETWEEN(1,ROWS('11'!A7:A28)),1)</f>
        <v>Make you freak</v>
      </c>
      <c r="J10" s="5"/>
    </row>
    <row r="11" spans="1:10" x14ac:dyDescent="0.25">
      <c r="B11" s="2" t="str">
        <f ca="1">INDEX('9'!$A$1:$A$118,RANDBETWEEN(1,ROWS($A$1:$A$118)),1)</f>
        <v>Turn Away</v>
      </c>
      <c r="D11" s="2" t="str">
        <f ca="1">INDEX('10'!$A$1:$A$84,RANDBETWEEN(1,ROWS('10'!$A$1:$A$84)),1)</f>
        <v>Xepher</v>
      </c>
      <c r="F11" s="2" t="str">
        <f ca="1">INDEX('11'!$A$1:$A$22,RANDBETWEEN(1,ROWS('11'!A8:A29)),1)</f>
        <v>Allez ola ole</v>
      </c>
      <c r="J11" s="5"/>
    </row>
    <row r="12" spans="1:10" x14ac:dyDescent="0.25">
      <c r="B12" s="2" t="str">
        <f ca="1">INDEX('9'!$A$1:$A$118,RANDBETWEEN(1,ROWS($A$1:$A$118)),1)</f>
        <v>Dare to be stupid</v>
      </c>
      <c r="D12" s="2" t="str">
        <f ca="1">INDEX('10'!$A$1:$A$84,RANDBETWEEN(1,ROWS('10'!$A$1:$A$84)),1)</f>
        <v>Mr Saxobeat</v>
      </c>
      <c r="F12" s="2" t="str">
        <f ca="1">INDEX('11'!$A$1:$A$22,RANDBETWEEN(1,ROWS('11'!A9:A30)),1)</f>
        <v>Mister Brilliant</v>
      </c>
      <c r="J12">
        <v>1</v>
      </c>
    </row>
    <row r="13" spans="1:10" x14ac:dyDescent="0.25">
      <c r="B13" s="2" t="str">
        <f ca="1">INDEX('9'!$A$1:$A$118,RANDBETWEEN(1,ROWS($A$1:$A$118)),1)</f>
        <v>Futuristic Vision</v>
      </c>
      <c r="D13" s="2" t="str">
        <f ca="1">INDEX('10'!$A$1:$A$84,RANDBETWEEN(1,ROWS('10'!$A$1:$A$84)),1)</f>
        <v>Mr Saxobeat</v>
      </c>
      <c r="F13" s="2" t="str">
        <f ca="1">INDEX('11'!$A$1:$A$22,RANDBETWEEN(1,ROWS('11'!A10:A31)),1)</f>
        <v>New Face</v>
      </c>
    </row>
    <row r="14" spans="1:10" x14ac:dyDescent="0.25">
      <c r="B14" s="2" t="str">
        <f ca="1">INDEX('9'!$A$1:$A$118,RANDBETWEEN(1,ROWS($A$1:$A$118)),1)</f>
        <v>En mon coeur</v>
      </c>
      <c r="D14" s="2" t="str">
        <f ca="1">INDEX('10'!$A$1:$A$84,RANDBETWEEN(1,ROWS('10'!$A$1:$A$84)),1)</f>
        <v>Run with us</v>
      </c>
    </row>
    <row r="15" spans="1:10" x14ac:dyDescent="0.25">
      <c r="B15" s="2" t="str">
        <f ca="1">INDEX('9'!$A$1:$A$118,RANDBETWEEN(1,ROWS($A$1:$A$118)),1)</f>
        <v>Crazy</v>
      </c>
      <c r="D15" s="2" t="s">
        <v>258</v>
      </c>
    </row>
    <row r="16" spans="1:10" x14ac:dyDescent="0.25">
      <c r="B16" s="2" t="str">
        <f ca="1">INDEX('9'!$A$1:$A$118,RANDBETWEEN(1,ROWS($A$1:$A$118)),1)</f>
        <v>Save the last dance for me</v>
      </c>
      <c r="D16" s="2" t="str">
        <f ca="1">INDEX('10'!$A$1:$A$84,RANDBETWEEN(1,ROWS('10'!$A$1:$A$84)),1)</f>
        <v>Uhn Tiss</v>
      </c>
    </row>
    <row r="17" spans="2:8" x14ac:dyDescent="0.25">
      <c r="B17" s="2" t="str">
        <f ca="1">INDEX('9'!$A$1:$A$118,RANDBETWEEN(1,ROWS($A$1:$A$118)),1)</f>
        <v>Solina</v>
      </c>
      <c r="D17" s="2" t="str">
        <f ca="1">INDEX('10'!$A$1:$A$84,RANDBETWEEN(1,ROWS('10'!$A$1:$A$84)),1)</f>
        <v>Tricky Disco</v>
      </c>
    </row>
    <row r="18" spans="2:8" x14ac:dyDescent="0.25">
      <c r="B18" s="2" t="str">
        <f ca="1">INDEX('9'!$A$1:$A$118,RANDBETWEEN(1,ROWS($A$1:$A$118)),1)</f>
        <v>Centerfold</v>
      </c>
      <c r="D18" s="2" t="str">
        <f ca="1">INDEX('10'!$A$1:$A$84,RANDBETWEEN(1,ROWS('10'!$A$1:$A$84)),1)</f>
        <v>Lets go outside</v>
      </c>
    </row>
    <row r="19" spans="2:8" x14ac:dyDescent="0.25">
      <c r="B19" s="2" t="str">
        <f ca="1">INDEX('9'!$A$1:$A$118,RANDBETWEEN(1,ROWS($A$1:$A$118)),1)</f>
        <v>Heard that sound</v>
      </c>
      <c r="D19" s="2" t="str">
        <f ca="1">INDEX('10'!$A$1:$A$84,RANDBETWEEN(1,ROWS('10'!$A$1:$A$84)),1)</f>
        <v>Run with us</v>
      </c>
      <c r="F19">
        <f>25+0.6*(88-25)-1</f>
        <v>61.8</v>
      </c>
    </row>
    <row r="20" spans="2:8" x14ac:dyDescent="0.25">
      <c r="B20" s="2" t="str">
        <f ca="1">INDEX('9'!$A$1:$A$118,RANDBETWEEN(1,ROWS($A$1:$A$118)),1)</f>
        <v>Fly away</v>
      </c>
      <c r="D20" s="2" t="str">
        <f ca="1">INDEX('10'!$A$1:$A$84,RANDBETWEEN(1,ROWS('10'!$A$1:$A$84)),1)</f>
        <v>This is the way</v>
      </c>
    </row>
    <row r="21" spans="2:8" x14ac:dyDescent="0.25">
      <c r="B21" s="2" t="str">
        <f ca="1">INDEX('9'!$A$1:$A$118,RANDBETWEEN(1,ROWS($A$1:$A$118)),1)</f>
        <v>Solina</v>
      </c>
      <c r="D21" s="2" t="str">
        <f ca="1">INDEX('10'!$A$1:$A$84,RANDBETWEEN(1,ROWS('10'!$A$1:$A$84)),1)</f>
        <v>Fun-Loving spirit</v>
      </c>
      <c r="F21">
        <f>141*0</f>
        <v>0</v>
      </c>
    </row>
    <row r="22" spans="2:8" x14ac:dyDescent="0.25">
      <c r="B22" s="2" t="str">
        <f ca="1">INDEX('9'!$A$1:$A$118,RANDBETWEEN(1,ROWS($A$1:$A$118)),1)</f>
        <v>Diddily Doo</v>
      </c>
      <c r="D22" s="2" t="str">
        <f ca="1">INDEX('10'!$A$1:$A$84,RANDBETWEEN(1,ROWS('10'!$A$1:$A$84)),1)</f>
        <v>Ninjyari Bang Bang</v>
      </c>
    </row>
    <row r="23" spans="2:8" x14ac:dyDescent="0.25">
      <c r="B23" s="2" t="str">
        <f ca="1">INDEX('9'!$A$1:$A$118,RANDBETWEEN(1,ROWS($A$1:$A$118)),1)</f>
        <v>Centerfold</v>
      </c>
      <c r="D23" s="2" t="str">
        <f ca="1">INDEX('10'!$A$1:$A$84,RANDBETWEEN(1,ROWS('10'!$A$1:$A$84)),1)</f>
        <v>Cosmic Cowgirl</v>
      </c>
    </row>
    <row r="24" spans="2:8" x14ac:dyDescent="0.25">
      <c r="B24" s="2" t="str">
        <f ca="1">INDEX('9'!$A$1:$A$118,RANDBETWEEN(1,ROWS($A$1:$A$118)),1)</f>
        <v>Secret</v>
      </c>
      <c r="D24" s="2" t="str">
        <f ca="1">INDEX('10'!$A$1:$A$84,RANDBETWEEN(1,ROWS('10'!$A$1:$A$84)),1)</f>
        <v>Story</v>
      </c>
    </row>
    <row r="25" spans="2:8" x14ac:dyDescent="0.25">
      <c r="B25" s="2" t="str">
        <f ca="1">INDEX('9'!$A$1:$A$118,RANDBETWEEN(1,ROWS($A$1:$A$118)),1)</f>
        <v>Coming out</v>
      </c>
      <c r="D25" s="2" t="str">
        <f ca="1">INDEX('10'!$A$1:$A$84,RANDBETWEEN(1,ROWS('10'!$A$1:$A$84)),1)</f>
        <v>Monty on the run</v>
      </c>
    </row>
    <row r="26" spans="2:8" x14ac:dyDescent="0.25">
      <c r="F26" t="s">
        <v>230</v>
      </c>
      <c r="H26" t="s">
        <v>233</v>
      </c>
    </row>
    <row r="27" spans="2:8" x14ac:dyDescent="0.25">
      <c r="H27" t="s">
        <v>234</v>
      </c>
    </row>
    <row r="28" spans="2:8" x14ac:dyDescent="0.25">
      <c r="F28">
        <f ca="1">RANDBETWEEN(1,15)</f>
        <v>3</v>
      </c>
      <c r="H28" t="s">
        <v>235</v>
      </c>
    </row>
    <row r="29" spans="2:8" x14ac:dyDescent="0.25">
      <c r="H29" t="s">
        <v>255</v>
      </c>
    </row>
  </sheetData>
  <conditionalFormatting sqref="B4:B25">
    <cfRule type="duplicateValues" dxfId="4" priority="1"/>
    <cfRule type="duplicateValues" dxfId="3" priority="5"/>
  </conditionalFormatting>
  <conditionalFormatting sqref="D4:D25">
    <cfRule type="duplicateValues" dxfId="2" priority="4"/>
  </conditionalFormatting>
  <conditionalFormatting sqref="F4:F13">
    <cfRule type="duplicateValues" dxfId="1" priority="3"/>
  </conditionalFormatting>
  <conditionalFormatting sqref="H4:H8">
    <cfRule type="duplicateValues" dxfId="0" priority="2"/>
  </conditionalFormatting>
  <pageMargins left="0.7" right="0.7" top="0.75" bottom="0.75" header="0.3" footer="0.3"/>
  <pageSetup paperSize="9" orientation="portrait" horizont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0</xdr:col>
                    <xdr:colOff>85725</xdr:colOff>
                    <xdr:row>2</xdr:row>
                    <xdr:rowOff>180975</xdr:rowOff>
                  </from>
                  <to>
                    <xdr:col>1</xdr:col>
                    <xdr:colOff>28575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0</xdr:col>
                    <xdr:colOff>85725</xdr:colOff>
                    <xdr:row>4</xdr:row>
                    <xdr:rowOff>9525</xdr:rowOff>
                  </from>
                  <to>
                    <xdr:col>1</xdr:col>
                    <xdr:colOff>28575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0</xdr:col>
                    <xdr:colOff>85725</xdr:colOff>
                    <xdr:row>5</xdr:row>
                    <xdr:rowOff>0</xdr:rowOff>
                  </from>
                  <to>
                    <xdr:col>1</xdr:col>
                    <xdr:colOff>28575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0</xdr:col>
                    <xdr:colOff>85725</xdr:colOff>
                    <xdr:row>5</xdr:row>
                    <xdr:rowOff>180975</xdr:rowOff>
                  </from>
                  <to>
                    <xdr:col>1</xdr:col>
                    <xdr:colOff>28575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180975</xdr:rowOff>
                  </from>
                  <to>
                    <xdr:col>1</xdr:col>
                    <xdr:colOff>28575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180975</xdr:rowOff>
                  </from>
                  <to>
                    <xdr:col>1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180975</xdr:rowOff>
                  </from>
                  <to>
                    <xdr:col>1</xdr:col>
                    <xdr:colOff>28575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0</xdr:col>
                    <xdr:colOff>85725</xdr:colOff>
                    <xdr:row>9</xdr:row>
                    <xdr:rowOff>171450</xdr:rowOff>
                  </from>
                  <to>
                    <xdr:col>1</xdr:col>
                    <xdr:colOff>28575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0</xdr:col>
                    <xdr:colOff>85725</xdr:colOff>
                    <xdr:row>10</xdr:row>
                    <xdr:rowOff>171450</xdr:rowOff>
                  </from>
                  <to>
                    <xdr:col>1</xdr:col>
                    <xdr:colOff>28575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0</xdr:col>
                    <xdr:colOff>85725</xdr:colOff>
                    <xdr:row>12</xdr:row>
                    <xdr:rowOff>171450</xdr:rowOff>
                  </from>
                  <to>
                    <xdr:col>1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4" name="Check Box 17">
              <controlPr defaultSize="0" autoFill="0" autoLine="0" autoPict="0">
                <anchor moveWithCells="1">
                  <from>
                    <xdr:col>0</xdr:col>
                    <xdr:colOff>85725</xdr:colOff>
                    <xdr:row>11</xdr:row>
                    <xdr:rowOff>180975</xdr:rowOff>
                  </from>
                  <to>
                    <xdr:col>1</xdr:col>
                    <xdr:colOff>28575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15" name="Check Box 18">
              <controlPr defaultSize="0" autoFill="0" autoLine="0" autoPict="0">
                <anchor moveWithCells="1">
                  <from>
                    <xdr:col>0</xdr:col>
                    <xdr:colOff>85725</xdr:colOff>
                    <xdr:row>13</xdr:row>
                    <xdr:rowOff>171450</xdr:rowOff>
                  </from>
                  <to>
                    <xdr:col>1</xdr:col>
                    <xdr:colOff>28575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16" name="Check Box 19">
              <controlPr defaultSize="0" autoFill="0" autoLine="0" autoPict="0">
                <anchor moveWithCells="1">
                  <from>
                    <xdr:col>0</xdr:col>
                    <xdr:colOff>85725</xdr:colOff>
                    <xdr:row>14</xdr:row>
                    <xdr:rowOff>171450</xdr:rowOff>
                  </from>
                  <to>
                    <xdr:col>1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17" name="Check Box 20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0</xdr:rowOff>
                  </from>
                  <to>
                    <xdr:col>1</xdr:col>
                    <xdr:colOff>28575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18" name="Check Box 21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180975</xdr:rowOff>
                  </from>
                  <to>
                    <xdr:col>1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19" name="Check Box 22">
              <controlPr defaultSize="0" autoFill="0" autoLine="0" autoPict="0">
                <anchor moveWithCells="1">
                  <from>
                    <xdr:col>0</xdr:col>
                    <xdr:colOff>85725</xdr:colOff>
                    <xdr:row>17</xdr:row>
                    <xdr:rowOff>171450</xdr:rowOff>
                  </from>
                  <to>
                    <xdr:col>1</xdr:col>
                    <xdr:colOff>28575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0" name="Check Box 23">
              <controlPr defaultSize="0" autoFill="0" autoLine="0" autoPict="0">
                <anchor moveWithCells="1">
                  <from>
                    <xdr:col>0</xdr:col>
                    <xdr:colOff>85725</xdr:colOff>
                    <xdr:row>18</xdr:row>
                    <xdr:rowOff>180975</xdr:rowOff>
                  </from>
                  <to>
                    <xdr:col>1</xdr:col>
                    <xdr:colOff>28575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1" name="Check Box 24">
              <controlPr defaultSize="0" autoFill="0" autoLine="0" autoPict="0">
                <anchor moveWithCells="1">
                  <from>
                    <xdr:col>0</xdr:col>
                    <xdr:colOff>85725</xdr:colOff>
                    <xdr:row>19</xdr:row>
                    <xdr:rowOff>180975</xdr:rowOff>
                  </from>
                  <to>
                    <xdr:col>1</xdr:col>
                    <xdr:colOff>28575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2" name="Check Box 25">
              <controlPr defaultSize="0" autoFill="0" autoLine="0" autoPict="0">
                <anchor moveWithCells="1">
                  <from>
                    <xdr:col>0</xdr:col>
                    <xdr:colOff>85725</xdr:colOff>
                    <xdr:row>20</xdr:row>
                    <xdr:rowOff>180975</xdr:rowOff>
                  </from>
                  <to>
                    <xdr:col>1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3" name="Check Box 26">
              <controlPr defaultSize="0" autoFill="0" autoLine="0" autoPict="0">
                <anchor moveWithCells="1">
                  <from>
                    <xdr:col>0</xdr:col>
                    <xdr:colOff>85725</xdr:colOff>
                    <xdr:row>21</xdr:row>
                    <xdr:rowOff>180975</xdr:rowOff>
                  </from>
                  <to>
                    <xdr:col>1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4" name="Check Box 27">
              <controlPr defaultSize="0" autoFill="0" autoLine="0" autoPict="0">
                <anchor moveWithCells="1">
                  <from>
                    <xdr:col>0</xdr:col>
                    <xdr:colOff>85725</xdr:colOff>
                    <xdr:row>22</xdr:row>
                    <xdr:rowOff>180975</xdr:rowOff>
                  </from>
                  <to>
                    <xdr:col>1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25" name="Check Box 28">
              <controlPr defaultSize="0" autoFill="0" autoLine="0" autoPict="0">
                <anchor moveWithCells="1">
                  <from>
                    <xdr:col>0</xdr:col>
                    <xdr:colOff>85725</xdr:colOff>
                    <xdr:row>23</xdr:row>
                    <xdr:rowOff>180975</xdr:rowOff>
                  </from>
                  <to>
                    <xdr:col>1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26" name="Check Box 29">
              <controlPr defaultSize="0" autoFill="0" autoLine="0" autoPict="0">
                <anchor moveWithCells="1">
                  <from>
                    <xdr:col>2</xdr:col>
                    <xdr:colOff>76200</xdr:colOff>
                    <xdr:row>2</xdr:row>
                    <xdr:rowOff>180975</xdr:rowOff>
                  </from>
                  <to>
                    <xdr:col>3</xdr:col>
                    <xdr:colOff>28575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27" name="Check Box 30">
              <controlPr defaultSize="0" autoFill="0" autoLine="0" autoPict="0">
                <anchor moveWithCells="1">
                  <from>
                    <xdr:col>2</xdr:col>
                    <xdr:colOff>76200</xdr:colOff>
                    <xdr:row>4</xdr:row>
                    <xdr:rowOff>9525</xdr:rowOff>
                  </from>
                  <to>
                    <xdr:col>3</xdr:col>
                    <xdr:colOff>28575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28" name="Check Box 31">
              <controlPr defaultSize="0" autoFill="0" autoLine="0" autoPict="0">
                <anchor moveWithCells="1">
                  <from>
                    <xdr:col>2</xdr:col>
                    <xdr:colOff>76200</xdr:colOff>
                    <xdr:row>5</xdr:row>
                    <xdr:rowOff>0</xdr:rowOff>
                  </from>
                  <to>
                    <xdr:col>3</xdr:col>
                    <xdr:colOff>28575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29" name="Check Box 32">
              <controlPr defaultSize="0" autoFill="0" autoLine="0" autoPict="0">
                <anchor moveWithCells="1">
                  <from>
                    <xdr:col>2</xdr:col>
                    <xdr:colOff>76200</xdr:colOff>
                    <xdr:row>5</xdr:row>
                    <xdr:rowOff>180975</xdr:rowOff>
                  </from>
                  <to>
                    <xdr:col>3</xdr:col>
                    <xdr:colOff>28575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0" name="Check Box 33">
              <controlPr defaultSize="0" autoFill="0" autoLine="0" autoPict="0">
                <anchor moveWithCells="1">
                  <from>
                    <xdr:col>2</xdr:col>
                    <xdr:colOff>76200</xdr:colOff>
                    <xdr:row>6</xdr:row>
                    <xdr:rowOff>180975</xdr:rowOff>
                  </from>
                  <to>
                    <xdr:col>3</xdr:col>
                    <xdr:colOff>28575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1" name="Check Box 34">
              <controlPr defaultSize="0" autoFill="0" autoLine="0" autoPict="0">
                <anchor moveWithCells="1">
                  <from>
                    <xdr:col>2</xdr:col>
                    <xdr:colOff>76200</xdr:colOff>
                    <xdr:row>7</xdr:row>
                    <xdr:rowOff>180975</xdr:rowOff>
                  </from>
                  <to>
                    <xdr:col>3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2" name="Check Box 35">
              <controlPr defaultSize="0" autoFill="0" autoLine="0" autoPict="0">
                <anchor moveWithCells="1">
                  <from>
                    <xdr:col>2</xdr:col>
                    <xdr:colOff>76200</xdr:colOff>
                    <xdr:row>8</xdr:row>
                    <xdr:rowOff>180975</xdr:rowOff>
                  </from>
                  <to>
                    <xdr:col>3</xdr:col>
                    <xdr:colOff>28575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3" name="Check Box 36">
              <controlPr defaultSize="0" autoFill="0" autoLine="0" autoPict="0">
                <anchor moveWithCells="1">
                  <from>
                    <xdr:col>2</xdr:col>
                    <xdr:colOff>76200</xdr:colOff>
                    <xdr:row>9</xdr:row>
                    <xdr:rowOff>171450</xdr:rowOff>
                  </from>
                  <to>
                    <xdr:col>3</xdr:col>
                    <xdr:colOff>28575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4" name="Check Box 37">
              <controlPr defaultSize="0" autoFill="0" autoLine="0" autoPict="0">
                <anchor moveWithCells="1">
                  <from>
                    <xdr:col>2</xdr:col>
                    <xdr:colOff>76200</xdr:colOff>
                    <xdr:row>10</xdr:row>
                    <xdr:rowOff>171450</xdr:rowOff>
                  </from>
                  <to>
                    <xdr:col>3</xdr:col>
                    <xdr:colOff>28575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35" name="Check Box 38">
              <controlPr defaultSize="0" autoFill="0" autoLine="0" autoPict="0">
                <anchor moveWithCells="1">
                  <from>
                    <xdr:col>2</xdr:col>
                    <xdr:colOff>76200</xdr:colOff>
                    <xdr:row>12</xdr:row>
                    <xdr:rowOff>171450</xdr:rowOff>
                  </from>
                  <to>
                    <xdr:col>3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36" name="Check Box 39">
              <controlPr defaultSize="0" autoFill="0" autoLine="0" autoPict="0">
                <anchor moveWithCells="1">
                  <from>
                    <xdr:col>2</xdr:col>
                    <xdr:colOff>76200</xdr:colOff>
                    <xdr:row>11</xdr:row>
                    <xdr:rowOff>180975</xdr:rowOff>
                  </from>
                  <to>
                    <xdr:col>3</xdr:col>
                    <xdr:colOff>28575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37" name="Check Box 40">
              <controlPr defaultSize="0" autoFill="0" autoLine="0" autoPict="0">
                <anchor moveWithCells="1">
                  <from>
                    <xdr:col>2</xdr:col>
                    <xdr:colOff>76200</xdr:colOff>
                    <xdr:row>13</xdr:row>
                    <xdr:rowOff>171450</xdr:rowOff>
                  </from>
                  <to>
                    <xdr:col>3</xdr:col>
                    <xdr:colOff>28575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38" name="Check Box 41">
              <controlPr defaultSize="0" autoFill="0" autoLine="0" autoPict="0">
                <anchor moveWithCells="1">
                  <from>
                    <xdr:col>2</xdr:col>
                    <xdr:colOff>76200</xdr:colOff>
                    <xdr:row>14</xdr:row>
                    <xdr:rowOff>171450</xdr:rowOff>
                  </from>
                  <to>
                    <xdr:col>3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39" name="Check Box 42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0</xdr:rowOff>
                  </from>
                  <to>
                    <xdr:col>3</xdr:col>
                    <xdr:colOff>28575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0" name="Check Box 43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180975</xdr:rowOff>
                  </from>
                  <to>
                    <xdr:col>3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1" name="Check Box 44">
              <controlPr defaultSize="0" autoFill="0" autoLine="0" autoPict="0">
                <anchor moveWithCells="1">
                  <from>
                    <xdr:col>2</xdr:col>
                    <xdr:colOff>76200</xdr:colOff>
                    <xdr:row>17</xdr:row>
                    <xdr:rowOff>171450</xdr:rowOff>
                  </from>
                  <to>
                    <xdr:col>3</xdr:col>
                    <xdr:colOff>28575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2" name="Check Box 45">
              <controlPr defaultSize="0" autoFill="0" autoLine="0" autoPict="0">
                <anchor moveWithCells="1">
                  <from>
                    <xdr:col>2</xdr:col>
                    <xdr:colOff>76200</xdr:colOff>
                    <xdr:row>18</xdr:row>
                    <xdr:rowOff>180975</xdr:rowOff>
                  </from>
                  <to>
                    <xdr:col>3</xdr:col>
                    <xdr:colOff>28575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3" name="Check Box 46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180975</xdr:rowOff>
                  </from>
                  <to>
                    <xdr:col>3</xdr:col>
                    <xdr:colOff>28575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4" name="Check Box 47">
              <controlPr defaultSize="0" autoFill="0" autoLine="0" autoPict="0">
                <anchor moveWithCells="1">
                  <from>
                    <xdr:col>2</xdr:col>
                    <xdr:colOff>76200</xdr:colOff>
                    <xdr:row>20</xdr:row>
                    <xdr:rowOff>180975</xdr:rowOff>
                  </from>
                  <to>
                    <xdr:col>3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5" name="Check Box 48">
              <controlPr defaultSize="0" autoFill="0" autoLine="0" autoPict="0">
                <anchor moveWithCells="1">
                  <from>
                    <xdr:col>2</xdr:col>
                    <xdr:colOff>76200</xdr:colOff>
                    <xdr:row>21</xdr:row>
                    <xdr:rowOff>180975</xdr:rowOff>
                  </from>
                  <to>
                    <xdr:col>3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6" name="Check Box 49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180975</xdr:rowOff>
                  </from>
                  <to>
                    <xdr:col>3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47" name="Check Box 50">
              <controlPr defaultSize="0" autoFill="0" autoLine="0" autoPict="0">
                <anchor moveWithCells="1">
                  <from>
                    <xdr:col>2</xdr:col>
                    <xdr:colOff>76200</xdr:colOff>
                    <xdr:row>23</xdr:row>
                    <xdr:rowOff>180975</xdr:rowOff>
                  </from>
                  <to>
                    <xdr:col>3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48" name="Check Box 52">
              <controlPr defaultSize="0" autoFill="0" autoLine="0" autoPict="0">
                <anchor moveWithCells="1">
                  <from>
                    <xdr:col>4</xdr:col>
                    <xdr:colOff>123825</xdr:colOff>
                    <xdr:row>2</xdr:row>
                    <xdr:rowOff>180975</xdr:rowOff>
                  </from>
                  <to>
                    <xdr:col>5</xdr:col>
                    <xdr:colOff>9525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49" name="Check Box 53">
              <controlPr defaultSize="0" autoFill="0" autoLine="0" autoPict="0">
                <anchor moveWithCells="1">
                  <from>
                    <xdr:col>4</xdr:col>
                    <xdr:colOff>123825</xdr:colOff>
                    <xdr:row>4</xdr:row>
                    <xdr:rowOff>9525</xdr:rowOff>
                  </from>
                  <to>
                    <xdr:col>5</xdr:col>
                    <xdr:colOff>9525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0" name="Check Box 54">
              <controlPr defaultSize="0" autoFill="0" autoLine="0" autoPict="0">
                <anchor moveWithCells="1">
                  <from>
                    <xdr:col>4</xdr:col>
                    <xdr:colOff>123825</xdr:colOff>
                    <xdr:row>5</xdr:row>
                    <xdr:rowOff>0</xdr:rowOff>
                  </from>
                  <to>
                    <xdr:col>5</xdr:col>
                    <xdr:colOff>9525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1" name="Check Box 55">
              <controlPr defaultSize="0" autoFill="0" autoLine="0" autoPict="0">
                <anchor moveWithCells="1">
                  <from>
                    <xdr:col>4</xdr:col>
                    <xdr:colOff>123825</xdr:colOff>
                    <xdr:row>5</xdr:row>
                    <xdr:rowOff>180975</xdr:rowOff>
                  </from>
                  <to>
                    <xdr:col>5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2" name="Check Box 56">
              <controlPr defaultSize="0" autoFill="0" autoLine="0" autoPict="0">
                <anchor moveWithCells="1">
                  <from>
                    <xdr:col>4</xdr:col>
                    <xdr:colOff>123825</xdr:colOff>
                    <xdr:row>6</xdr:row>
                    <xdr:rowOff>180975</xdr:rowOff>
                  </from>
                  <to>
                    <xdr:col>5</xdr:col>
                    <xdr:colOff>9525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53" name="Check Box 57">
              <controlPr defaultSize="0" autoFill="0" autoLine="0" autoPict="0">
                <anchor moveWithCells="1">
                  <from>
                    <xdr:col>4</xdr:col>
                    <xdr:colOff>123825</xdr:colOff>
                    <xdr:row>8</xdr:row>
                    <xdr:rowOff>9525</xdr:rowOff>
                  </from>
                  <to>
                    <xdr:col>5</xdr:col>
                    <xdr:colOff>9525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54" name="Check Box 58">
              <controlPr defaultSize="0" autoFill="0" autoLine="0" autoPict="0">
                <anchor moveWithCells="1">
                  <from>
                    <xdr:col>4</xdr:col>
                    <xdr:colOff>123825</xdr:colOff>
                    <xdr:row>9</xdr:row>
                    <xdr:rowOff>28575</xdr:rowOff>
                  </from>
                  <to>
                    <xdr:col>5</xdr:col>
                    <xdr:colOff>9525</xdr:colOff>
                    <xdr:row>10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55" name="Check Box 59">
              <controlPr defaultSize="0" autoFill="0" autoLine="0" autoPict="0">
                <anchor moveWithCells="1">
                  <from>
                    <xdr:col>4</xdr:col>
                    <xdr:colOff>123825</xdr:colOff>
                    <xdr:row>10</xdr:row>
                    <xdr:rowOff>19050</xdr:rowOff>
                  </from>
                  <to>
                    <xdr:col>5</xdr:col>
                    <xdr:colOff>9525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56" name="Check Box 60">
              <controlPr defaultSize="0" autoFill="0" autoLine="0" autoPict="0">
                <anchor moveWithCells="1">
                  <from>
                    <xdr:col>4</xdr:col>
                    <xdr:colOff>123825</xdr:colOff>
                    <xdr:row>11</xdr:row>
                    <xdr:rowOff>9525</xdr:rowOff>
                  </from>
                  <to>
                    <xdr:col>5</xdr:col>
                    <xdr:colOff>9525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57" name="Check Box 61">
              <controlPr defaultSize="0" autoFill="0" autoLine="0" autoPict="0">
                <anchor moveWithCells="1">
                  <from>
                    <xdr:col>4</xdr:col>
                    <xdr:colOff>123825</xdr:colOff>
                    <xdr:row>12</xdr:row>
                    <xdr:rowOff>9525</xdr:rowOff>
                  </from>
                  <to>
                    <xdr:col>5</xdr:col>
                    <xdr:colOff>9525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58" name="Check Box 63">
              <controlPr defaultSize="0" autoFill="0" autoLine="0" autoPict="0">
                <anchor moveWithCells="1">
                  <from>
                    <xdr:col>6</xdr:col>
                    <xdr:colOff>161925</xdr:colOff>
                    <xdr:row>2</xdr:row>
                    <xdr:rowOff>180975</xdr:rowOff>
                  </from>
                  <to>
                    <xdr:col>7</xdr:col>
                    <xdr:colOff>9525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59" name="Check Box 64">
              <controlPr defaultSize="0" autoFill="0" autoLine="0" autoPict="0">
                <anchor moveWithCells="1">
                  <from>
                    <xdr:col>6</xdr:col>
                    <xdr:colOff>161925</xdr:colOff>
                    <xdr:row>4</xdr:row>
                    <xdr:rowOff>9525</xdr:rowOff>
                  </from>
                  <to>
                    <xdr:col>7</xdr:col>
                    <xdr:colOff>9525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0" name="Check Box 65">
              <controlPr defaultSize="0" autoFill="0" autoLine="0" autoPict="0">
                <anchor moveWithCells="1">
                  <from>
                    <xdr:col>6</xdr:col>
                    <xdr:colOff>161925</xdr:colOff>
                    <xdr:row>5</xdr:row>
                    <xdr:rowOff>0</xdr:rowOff>
                  </from>
                  <to>
                    <xdr:col>7</xdr:col>
                    <xdr:colOff>9525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1" name="Check Box 66">
              <controlPr defaultSize="0" autoFill="0" autoLine="0" autoPict="0">
                <anchor moveWithCells="1">
                  <from>
                    <xdr:col>6</xdr:col>
                    <xdr:colOff>161925</xdr:colOff>
                    <xdr:row>5</xdr:row>
                    <xdr:rowOff>180975</xdr:rowOff>
                  </from>
                  <to>
                    <xdr:col>7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62" name="Check Box 67">
              <controlPr defaultSize="0" autoFill="0" autoLine="0" autoPict="0">
                <anchor moveWithCells="1">
                  <from>
                    <xdr:col>6</xdr:col>
                    <xdr:colOff>161925</xdr:colOff>
                    <xdr:row>6</xdr:row>
                    <xdr:rowOff>180975</xdr:rowOff>
                  </from>
                  <to>
                    <xdr:col>7</xdr:col>
                    <xdr:colOff>9525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63" name="Check Box 70">
              <controlPr defaultSize="0" autoFill="0" autoLine="0" autoPict="0">
                <anchor moveWithCells="1">
                  <from>
                    <xdr:col>2</xdr:col>
                    <xdr:colOff>76200</xdr:colOff>
                    <xdr:row>5</xdr:row>
                    <xdr:rowOff>180975</xdr:rowOff>
                  </from>
                  <to>
                    <xdr:col>3</xdr:col>
                    <xdr:colOff>28575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64" name="Check Box 71">
              <controlPr defaultSize="0" autoFill="0" autoLine="0" autoPict="0">
                <anchor moveWithCells="1">
                  <from>
                    <xdr:col>2</xdr:col>
                    <xdr:colOff>76200</xdr:colOff>
                    <xdr:row>6</xdr:row>
                    <xdr:rowOff>180975</xdr:rowOff>
                  </from>
                  <to>
                    <xdr:col>3</xdr:col>
                    <xdr:colOff>28575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65" name="Check Box 72">
              <controlPr defaultSize="0" autoFill="0" autoLine="0" autoPict="0">
                <anchor moveWithCells="1">
                  <from>
                    <xdr:col>2</xdr:col>
                    <xdr:colOff>76200</xdr:colOff>
                    <xdr:row>7</xdr:row>
                    <xdr:rowOff>180975</xdr:rowOff>
                  </from>
                  <to>
                    <xdr:col>3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66" name="Check Box 73">
              <controlPr defaultSize="0" autoFill="0" autoLine="0" autoPict="0">
                <anchor moveWithCells="1">
                  <from>
                    <xdr:col>2</xdr:col>
                    <xdr:colOff>76200</xdr:colOff>
                    <xdr:row>8</xdr:row>
                    <xdr:rowOff>180975</xdr:rowOff>
                  </from>
                  <to>
                    <xdr:col>3</xdr:col>
                    <xdr:colOff>28575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67" name="Check Box 76">
              <controlPr defaultSize="0" autoFill="0" autoLine="0" autoPict="0">
                <anchor moveWithCells="1">
                  <from>
                    <xdr:col>2</xdr:col>
                    <xdr:colOff>76200</xdr:colOff>
                    <xdr:row>11</xdr:row>
                    <xdr:rowOff>180975</xdr:rowOff>
                  </from>
                  <to>
                    <xdr:col>3</xdr:col>
                    <xdr:colOff>28575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68" name="Check Box 81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180975</xdr:rowOff>
                  </from>
                  <to>
                    <xdr:col>3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69" name="Check Box 85">
              <controlPr defaultSize="0" autoFill="0" autoLine="0" autoPict="0">
                <anchor moveWithCells="1">
                  <from>
                    <xdr:col>2</xdr:col>
                    <xdr:colOff>76200</xdr:colOff>
                    <xdr:row>20</xdr:row>
                    <xdr:rowOff>180975</xdr:rowOff>
                  </from>
                  <to>
                    <xdr:col>3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70" name="Check Box 86">
              <controlPr defaultSize="0" autoFill="0" autoLine="0" autoPict="0">
                <anchor moveWithCells="1">
                  <from>
                    <xdr:col>2</xdr:col>
                    <xdr:colOff>76200</xdr:colOff>
                    <xdr:row>21</xdr:row>
                    <xdr:rowOff>180975</xdr:rowOff>
                  </from>
                  <to>
                    <xdr:col>3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71" name="Check Box 87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180975</xdr:rowOff>
                  </from>
                  <to>
                    <xdr:col>3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72" name="Check Box 88">
              <controlPr defaultSize="0" autoFill="0" autoLine="0" autoPict="0">
                <anchor moveWithCells="1">
                  <from>
                    <xdr:col>2</xdr:col>
                    <xdr:colOff>76200</xdr:colOff>
                    <xdr:row>23</xdr:row>
                    <xdr:rowOff>180975</xdr:rowOff>
                  </from>
                  <to>
                    <xdr:col>3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73" name="Check Box 102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180975</xdr:rowOff>
                  </from>
                  <to>
                    <xdr:col>1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74" name="Check Box 106">
              <controlPr defaultSize="0" autoFill="0" autoLine="0" autoPict="0">
                <anchor moveWithCells="1">
                  <from>
                    <xdr:col>0</xdr:col>
                    <xdr:colOff>85725</xdr:colOff>
                    <xdr:row>20</xdr:row>
                    <xdr:rowOff>180975</xdr:rowOff>
                  </from>
                  <to>
                    <xdr:col>1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75" name="Check Box 107">
              <controlPr defaultSize="0" autoFill="0" autoLine="0" autoPict="0">
                <anchor moveWithCells="1">
                  <from>
                    <xdr:col>0</xdr:col>
                    <xdr:colOff>85725</xdr:colOff>
                    <xdr:row>21</xdr:row>
                    <xdr:rowOff>180975</xdr:rowOff>
                  </from>
                  <to>
                    <xdr:col>1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76" name="Check Box 108">
              <controlPr defaultSize="0" autoFill="0" autoLine="0" autoPict="0">
                <anchor moveWithCells="1">
                  <from>
                    <xdr:col>0</xdr:col>
                    <xdr:colOff>85725</xdr:colOff>
                    <xdr:row>22</xdr:row>
                    <xdr:rowOff>180975</xdr:rowOff>
                  </from>
                  <to>
                    <xdr:col>1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77" name="Check Box 109">
              <controlPr defaultSize="0" autoFill="0" autoLine="0" autoPict="0">
                <anchor moveWithCells="1">
                  <from>
                    <xdr:col>0</xdr:col>
                    <xdr:colOff>85725</xdr:colOff>
                    <xdr:row>23</xdr:row>
                    <xdr:rowOff>180975</xdr:rowOff>
                  </from>
                  <to>
                    <xdr:col>1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78" name="Check Box 123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180975</xdr:rowOff>
                  </from>
                  <to>
                    <xdr:col>1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79" name="Check Box 127">
              <controlPr defaultSize="0" autoFill="0" autoLine="0" autoPict="0">
                <anchor moveWithCells="1">
                  <from>
                    <xdr:col>0</xdr:col>
                    <xdr:colOff>85725</xdr:colOff>
                    <xdr:row>20</xdr:row>
                    <xdr:rowOff>180975</xdr:rowOff>
                  </from>
                  <to>
                    <xdr:col>1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80" name="Check Box 128">
              <controlPr defaultSize="0" autoFill="0" autoLine="0" autoPict="0">
                <anchor moveWithCells="1">
                  <from>
                    <xdr:col>0</xdr:col>
                    <xdr:colOff>85725</xdr:colOff>
                    <xdr:row>21</xdr:row>
                    <xdr:rowOff>180975</xdr:rowOff>
                  </from>
                  <to>
                    <xdr:col>1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81" name="Check Box 129">
              <controlPr defaultSize="0" autoFill="0" autoLine="0" autoPict="0">
                <anchor moveWithCells="1">
                  <from>
                    <xdr:col>0</xdr:col>
                    <xdr:colOff>85725</xdr:colOff>
                    <xdr:row>22</xdr:row>
                    <xdr:rowOff>180975</xdr:rowOff>
                  </from>
                  <to>
                    <xdr:col>1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82" name="Check Box 130">
              <controlPr defaultSize="0" autoFill="0" autoLine="0" autoPict="0">
                <anchor moveWithCells="1">
                  <from>
                    <xdr:col>0</xdr:col>
                    <xdr:colOff>85725</xdr:colOff>
                    <xdr:row>23</xdr:row>
                    <xdr:rowOff>180975</xdr:rowOff>
                  </from>
                  <to>
                    <xdr:col>1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83" name="Check Box 133">
              <controlPr defaultSize="0" autoFill="0" autoLine="0" autoPict="0">
                <anchor moveWithCells="1">
                  <from>
                    <xdr:col>2</xdr:col>
                    <xdr:colOff>76200</xdr:colOff>
                    <xdr:row>5</xdr:row>
                    <xdr:rowOff>180975</xdr:rowOff>
                  </from>
                  <to>
                    <xdr:col>3</xdr:col>
                    <xdr:colOff>28575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84" name="Check Box 134">
              <controlPr defaultSize="0" autoFill="0" autoLine="0" autoPict="0">
                <anchor moveWithCells="1">
                  <from>
                    <xdr:col>2</xdr:col>
                    <xdr:colOff>76200</xdr:colOff>
                    <xdr:row>6</xdr:row>
                    <xdr:rowOff>180975</xdr:rowOff>
                  </from>
                  <to>
                    <xdr:col>3</xdr:col>
                    <xdr:colOff>28575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85" name="Check Box 135">
              <controlPr defaultSize="0" autoFill="0" autoLine="0" autoPict="0">
                <anchor moveWithCells="1">
                  <from>
                    <xdr:col>2</xdr:col>
                    <xdr:colOff>76200</xdr:colOff>
                    <xdr:row>7</xdr:row>
                    <xdr:rowOff>180975</xdr:rowOff>
                  </from>
                  <to>
                    <xdr:col>3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86" name="Check Box 136">
              <controlPr defaultSize="0" autoFill="0" autoLine="0" autoPict="0">
                <anchor moveWithCells="1">
                  <from>
                    <xdr:col>2</xdr:col>
                    <xdr:colOff>76200</xdr:colOff>
                    <xdr:row>8</xdr:row>
                    <xdr:rowOff>180975</xdr:rowOff>
                  </from>
                  <to>
                    <xdr:col>3</xdr:col>
                    <xdr:colOff>28575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87" name="Check Box 139">
              <controlPr defaultSize="0" autoFill="0" autoLine="0" autoPict="0">
                <anchor moveWithCells="1">
                  <from>
                    <xdr:col>2</xdr:col>
                    <xdr:colOff>76200</xdr:colOff>
                    <xdr:row>11</xdr:row>
                    <xdr:rowOff>180975</xdr:rowOff>
                  </from>
                  <to>
                    <xdr:col>3</xdr:col>
                    <xdr:colOff>28575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88" name="Check Box 144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180975</xdr:rowOff>
                  </from>
                  <to>
                    <xdr:col>3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89" name="Check Box 148">
              <controlPr defaultSize="0" autoFill="0" autoLine="0" autoPict="0">
                <anchor moveWithCells="1">
                  <from>
                    <xdr:col>2</xdr:col>
                    <xdr:colOff>76200</xdr:colOff>
                    <xdr:row>20</xdr:row>
                    <xdr:rowOff>180975</xdr:rowOff>
                  </from>
                  <to>
                    <xdr:col>3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90" name="Check Box 149">
              <controlPr defaultSize="0" autoFill="0" autoLine="0" autoPict="0">
                <anchor moveWithCells="1">
                  <from>
                    <xdr:col>2</xdr:col>
                    <xdr:colOff>76200</xdr:colOff>
                    <xdr:row>21</xdr:row>
                    <xdr:rowOff>180975</xdr:rowOff>
                  </from>
                  <to>
                    <xdr:col>3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91" name="Check Box 150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180975</xdr:rowOff>
                  </from>
                  <to>
                    <xdr:col>3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92" name="Check Box 151">
              <controlPr defaultSize="0" autoFill="0" autoLine="0" autoPict="0">
                <anchor moveWithCells="1">
                  <from>
                    <xdr:col>2</xdr:col>
                    <xdr:colOff>76200</xdr:colOff>
                    <xdr:row>23</xdr:row>
                    <xdr:rowOff>180975</xdr:rowOff>
                  </from>
                  <to>
                    <xdr:col>3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93" name="Check Box 154">
              <controlPr defaultSize="0" autoFill="0" autoLine="0" autoPict="0">
                <anchor moveWithCells="1">
                  <from>
                    <xdr:col>4</xdr:col>
                    <xdr:colOff>123825</xdr:colOff>
                    <xdr:row>5</xdr:row>
                    <xdr:rowOff>180975</xdr:rowOff>
                  </from>
                  <to>
                    <xdr:col>5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94" name="Check Box 155">
              <controlPr defaultSize="0" autoFill="0" autoLine="0" autoPict="0">
                <anchor moveWithCells="1">
                  <from>
                    <xdr:col>4</xdr:col>
                    <xdr:colOff>123825</xdr:colOff>
                    <xdr:row>6</xdr:row>
                    <xdr:rowOff>180975</xdr:rowOff>
                  </from>
                  <to>
                    <xdr:col>5</xdr:col>
                    <xdr:colOff>9525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95" name="Check Box 174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180975</xdr:rowOff>
                  </from>
                  <to>
                    <xdr:col>1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96" name="Check Box 178">
              <controlPr defaultSize="0" autoFill="0" autoLine="0" autoPict="0">
                <anchor moveWithCells="1">
                  <from>
                    <xdr:col>0</xdr:col>
                    <xdr:colOff>85725</xdr:colOff>
                    <xdr:row>20</xdr:row>
                    <xdr:rowOff>180975</xdr:rowOff>
                  </from>
                  <to>
                    <xdr:col>1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97" name="Check Box 179">
              <controlPr defaultSize="0" autoFill="0" autoLine="0" autoPict="0">
                <anchor moveWithCells="1">
                  <from>
                    <xdr:col>0</xdr:col>
                    <xdr:colOff>85725</xdr:colOff>
                    <xdr:row>21</xdr:row>
                    <xdr:rowOff>180975</xdr:rowOff>
                  </from>
                  <to>
                    <xdr:col>1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98" name="Check Box 180">
              <controlPr defaultSize="0" autoFill="0" autoLine="0" autoPict="0">
                <anchor moveWithCells="1">
                  <from>
                    <xdr:col>0</xdr:col>
                    <xdr:colOff>85725</xdr:colOff>
                    <xdr:row>22</xdr:row>
                    <xdr:rowOff>180975</xdr:rowOff>
                  </from>
                  <to>
                    <xdr:col>1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99" name="Check Box 181">
              <controlPr defaultSize="0" autoFill="0" autoLine="0" autoPict="0">
                <anchor moveWithCells="1">
                  <from>
                    <xdr:col>0</xdr:col>
                    <xdr:colOff>85725</xdr:colOff>
                    <xdr:row>23</xdr:row>
                    <xdr:rowOff>180975</xdr:rowOff>
                  </from>
                  <to>
                    <xdr:col>1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100" name="Check Box 182">
              <controlPr defaultSize="0" autoFill="0" autoLine="0" autoPict="0">
                <anchor moveWithCells="1">
                  <from>
                    <xdr:col>0</xdr:col>
                    <xdr:colOff>85725</xdr:colOff>
                    <xdr:row>3</xdr:row>
                    <xdr:rowOff>180975</xdr:rowOff>
                  </from>
                  <to>
                    <xdr:col>1</xdr:col>
                    <xdr:colOff>28575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101" name="Check Box 183">
              <controlPr defaultSize="0" autoFill="0" autoLine="0" autoPict="0">
                <anchor moveWithCells="1">
                  <from>
                    <xdr:col>0</xdr:col>
                    <xdr:colOff>85725</xdr:colOff>
                    <xdr:row>4</xdr:row>
                    <xdr:rowOff>180975</xdr:rowOff>
                  </from>
                  <to>
                    <xdr:col>1</xdr:col>
                    <xdr:colOff>28575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102" name="Check Box 184">
              <controlPr defaultSize="0" autoFill="0" autoLine="0" autoPict="0">
                <anchor moveWithCells="1">
                  <from>
                    <xdr:col>0</xdr:col>
                    <xdr:colOff>85725</xdr:colOff>
                    <xdr:row>5</xdr:row>
                    <xdr:rowOff>180975</xdr:rowOff>
                  </from>
                  <to>
                    <xdr:col>1</xdr:col>
                    <xdr:colOff>28575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103" name="Check Box 185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180975</xdr:rowOff>
                  </from>
                  <to>
                    <xdr:col>1</xdr:col>
                    <xdr:colOff>28575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104" name="Check Box 186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180975</xdr:rowOff>
                  </from>
                  <to>
                    <xdr:col>1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7" r:id="rId105" name="Check Box 187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180975</xdr:rowOff>
                  </from>
                  <to>
                    <xdr:col>1</xdr:col>
                    <xdr:colOff>28575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8" r:id="rId106" name="Check Box 188">
              <controlPr defaultSize="0" autoFill="0" autoLine="0" autoPict="0">
                <anchor moveWithCells="1">
                  <from>
                    <xdr:col>0</xdr:col>
                    <xdr:colOff>85725</xdr:colOff>
                    <xdr:row>9</xdr:row>
                    <xdr:rowOff>180975</xdr:rowOff>
                  </from>
                  <to>
                    <xdr:col>1</xdr:col>
                    <xdr:colOff>28575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9" r:id="rId107" name="Check Box 189">
              <controlPr defaultSize="0" autoFill="0" autoLine="0" autoPict="0">
                <anchor moveWithCells="1">
                  <from>
                    <xdr:col>0</xdr:col>
                    <xdr:colOff>85725</xdr:colOff>
                    <xdr:row>10</xdr:row>
                    <xdr:rowOff>180975</xdr:rowOff>
                  </from>
                  <to>
                    <xdr:col>1</xdr:col>
                    <xdr:colOff>28575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0" r:id="rId108" name="Check Box 190">
              <controlPr defaultSize="0" autoFill="0" autoLine="0" autoPict="0">
                <anchor moveWithCells="1">
                  <from>
                    <xdr:col>0</xdr:col>
                    <xdr:colOff>85725</xdr:colOff>
                    <xdr:row>11</xdr:row>
                    <xdr:rowOff>180975</xdr:rowOff>
                  </from>
                  <to>
                    <xdr:col>1</xdr:col>
                    <xdr:colOff>28575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1" r:id="rId109" name="Check Box 191">
              <controlPr defaultSize="0" autoFill="0" autoLine="0" autoPict="0">
                <anchor moveWithCells="1">
                  <from>
                    <xdr:col>0</xdr:col>
                    <xdr:colOff>85725</xdr:colOff>
                    <xdr:row>12</xdr:row>
                    <xdr:rowOff>180975</xdr:rowOff>
                  </from>
                  <to>
                    <xdr:col>1</xdr:col>
                    <xdr:colOff>28575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2" r:id="rId110" name="Check Box 192">
              <controlPr defaultSize="0" autoFill="0" autoLine="0" autoPict="0">
                <anchor moveWithCells="1">
                  <from>
                    <xdr:col>0</xdr:col>
                    <xdr:colOff>85725</xdr:colOff>
                    <xdr:row>13</xdr:row>
                    <xdr:rowOff>180975</xdr:rowOff>
                  </from>
                  <to>
                    <xdr:col>1</xdr:col>
                    <xdr:colOff>28575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3" r:id="rId111" name="Check Box 193">
              <controlPr defaultSize="0" autoFill="0" autoLine="0" autoPict="0">
                <anchor moveWithCells="1">
                  <from>
                    <xdr:col>0</xdr:col>
                    <xdr:colOff>85725</xdr:colOff>
                    <xdr:row>14</xdr:row>
                    <xdr:rowOff>180975</xdr:rowOff>
                  </from>
                  <to>
                    <xdr:col>1</xdr:col>
                    <xdr:colOff>28575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4" r:id="rId112" name="Check Box 194">
              <controlPr defaultSize="0" autoFill="0" autoLine="0" autoPict="0">
                <anchor moveWithCells="1">
                  <from>
                    <xdr:col>0</xdr:col>
                    <xdr:colOff>85725</xdr:colOff>
                    <xdr:row>15</xdr:row>
                    <xdr:rowOff>180975</xdr:rowOff>
                  </from>
                  <to>
                    <xdr:col>1</xdr:col>
                    <xdr:colOff>28575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5" r:id="rId113" name="Check Box 195">
              <controlPr defaultSize="0" autoFill="0" autoLine="0" autoPict="0">
                <anchor moveWithCells="1">
                  <from>
                    <xdr:col>0</xdr:col>
                    <xdr:colOff>85725</xdr:colOff>
                    <xdr:row>16</xdr:row>
                    <xdr:rowOff>180975</xdr:rowOff>
                  </from>
                  <to>
                    <xdr:col>1</xdr:col>
                    <xdr:colOff>28575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6" r:id="rId114" name="Check Box 196">
              <controlPr defaultSize="0" autoFill="0" autoLine="0" autoPict="0">
                <anchor moveWithCells="1">
                  <from>
                    <xdr:col>0</xdr:col>
                    <xdr:colOff>85725</xdr:colOff>
                    <xdr:row>17</xdr:row>
                    <xdr:rowOff>180975</xdr:rowOff>
                  </from>
                  <to>
                    <xdr:col>1</xdr:col>
                    <xdr:colOff>28575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7" r:id="rId115" name="Check Box 197">
              <controlPr defaultSize="0" autoFill="0" autoLine="0" autoPict="0">
                <anchor moveWithCells="1">
                  <from>
                    <xdr:col>0</xdr:col>
                    <xdr:colOff>85725</xdr:colOff>
                    <xdr:row>18</xdr:row>
                    <xdr:rowOff>180975</xdr:rowOff>
                  </from>
                  <to>
                    <xdr:col>1</xdr:col>
                    <xdr:colOff>28575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8" r:id="rId116" name="Check Box 198">
              <controlPr defaultSize="0" autoFill="0" autoLine="0" autoPict="0">
                <anchor moveWithCells="1">
                  <from>
                    <xdr:col>0</xdr:col>
                    <xdr:colOff>85725</xdr:colOff>
                    <xdr:row>19</xdr:row>
                    <xdr:rowOff>180975</xdr:rowOff>
                  </from>
                  <to>
                    <xdr:col>1</xdr:col>
                    <xdr:colOff>28575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9" r:id="rId117" name="Check Box 199">
              <controlPr defaultSize="0" autoFill="0" autoLine="0" autoPict="0">
                <anchor moveWithCells="1">
                  <from>
                    <xdr:col>0</xdr:col>
                    <xdr:colOff>85725</xdr:colOff>
                    <xdr:row>20</xdr:row>
                    <xdr:rowOff>180975</xdr:rowOff>
                  </from>
                  <to>
                    <xdr:col>1</xdr:col>
                    <xdr:colOff>28575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0" r:id="rId118" name="Check Box 200">
              <controlPr defaultSize="0" autoFill="0" autoLine="0" autoPict="0">
                <anchor moveWithCells="1">
                  <from>
                    <xdr:col>0</xdr:col>
                    <xdr:colOff>85725</xdr:colOff>
                    <xdr:row>21</xdr:row>
                    <xdr:rowOff>180975</xdr:rowOff>
                  </from>
                  <to>
                    <xdr:col>1</xdr:col>
                    <xdr:colOff>28575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1" r:id="rId119" name="Check Box 201">
              <controlPr defaultSize="0" autoFill="0" autoLine="0" autoPict="0">
                <anchor moveWithCells="1">
                  <from>
                    <xdr:col>0</xdr:col>
                    <xdr:colOff>85725</xdr:colOff>
                    <xdr:row>22</xdr:row>
                    <xdr:rowOff>180975</xdr:rowOff>
                  </from>
                  <to>
                    <xdr:col>1</xdr:col>
                    <xdr:colOff>28575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2" r:id="rId120" name="Check Box 202">
              <controlPr defaultSize="0" autoFill="0" autoLine="0" autoPict="0">
                <anchor moveWithCells="1">
                  <from>
                    <xdr:col>0</xdr:col>
                    <xdr:colOff>85725</xdr:colOff>
                    <xdr:row>23</xdr:row>
                    <xdr:rowOff>180975</xdr:rowOff>
                  </from>
                  <to>
                    <xdr:col>1</xdr:col>
                    <xdr:colOff>28575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3" r:id="rId121" name="Check Box 203">
              <controlPr defaultSize="0" autoFill="0" autoLine="0" autoPict="0">
                <anchor moveWithCells="1">
                  <from>
                    <xdr:col>0</xdr:col>
                    <xdr:colOff>85725</xdr:colOff>
                    <xdr:row>3</xdr:row>
                    <xdr:rowOff>9525</xdr:rowOff>
                  </from>
                  <to>
                    <xdr:col>1</xdr:col>
                    <xdr:colOff>28575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4" r:id="rId122" name="Check Box 204">
              <controlPr defaultSize="0" autoFill="0" autoLine="0" autoPict="0">
                <anchor moveWithCells="1">
                  <from>
                    <xdr:col>0</xdr:col>
                    <xdr:colOff>85725</xdr:colOff>
                    <xdr:row>2</xdr:row>
                    <xdr:rowOff>180975</xdr:rowOff>
                  </from>
                  <to>
                    <xdr:col>1</xdr:col>
                    <xdr:colOff>28575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" r:id="rId123" name="Check Box 205">
              <controlPr defaultSize="0" autoFill="0" autoLine="0" autoPict="0">
                <anchor moveWithCells="1">
                  <from>
                    <xdr:col>4</xdr:col>
                    <xdr:colOff>123825</xdr:colOff>
                    <xdr:row>3</xdr:row>
                    <xdr:rowOff>9525</xdr:rowOff>
                  </from>
                  <to>
                    <xdr:col>5</xdr:col>
                    <xdr:colOff>9525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G21" sqref="G21"/>
    </sheetView>
  </sheetViews>
  <sheetFormatPr defaultRowHeight="15" x14ac:dyDescent="0.25"/>
  <cols>
    <col min="1" max="1" width="10.42578125" bestFit="1" customWidth="1"/>
  </cols>
  <sheetData>
    <row r="1" spans="1:14" x14ac:dyDescent="0.25">
      <c r="A1" t="s">
        <v>236</v>
      </c>
    </row>
    <row r="3" spans="1:14" x14ac:dyDescent="0.25">
      <c r="A3" s="6">
        <v>43785</v>
      </c>
      <c r="B3">
        <v>96.7</v>
      </c>
    </row>
    <row r="4" spans="1:14" x14ac:dyDescent="0.25">
      <c r="A4" s="6">
        <v>43788</v>
      </c>
      <c r="B4">
        <v>95.26</v>
      </c>
    </row>
    <row r="5" spans="1:14" x14ac:dyDescent="0.25">
      <c r="A5" s="6">
        <v>43868</v>
      </c>
      <c r="B5">
        <v>98.38</v>
      </c>
    </row>
    <row r="6" spans="1:14" x14ac:dyDescent="0.25">
      <c r="H6">
        <f ca="1">RANDBETWEEN(1,3)</f>
        <v>1</v>
      </c>
    </row>
    <row r="7" spans="1:14" x14ac:dyDescent="0.25">
      <c r="D7" t="s">
        <v>259</v>
      </c>
      <c r="E7" t="s">
        <v>260</v>
      </c>
    </row>
    <row r="8" spans="1:14" x14ac:dyDescent="0.25">
      <c r="D8" t="s">
        <v>261</v>
      </c>
      <c r="E8" t="s">
        <v>263</v>
      </c>
      <c r="K8">
        <f>101/3.6</f>
        <v>28.055555555555554</v>
      </c>
    </row>
    <row r="9" spans="1:14" x14ac:dyDescent="0.25">
      <c r="D9" t="s">
        <v>262</v>
      </c>
      <c r="E9" t="s">
        <v>264</v>
      </c>
    </row>
    <row r="14" spans="1:14" x14ac:dyDescent="0.25">
      <c r="D14" s="7"/>
      <c r="E14" s="7"/>
      <c r="F14" s="7"/>
      <c r="G14" s="7"/>
    </row>
    <row r="15" spans="1:14" x14ac:dyDescent="0.25">
      <c r="D15" s="7"/>
      <c r="E15" t="s">
        <v>266</v>
      </c>
      <c r="F15">
        <f ca="1">RANDBETWEEN(1,4)</f>
        <v>1</v>
      </c>
      <c r="G15" s="7"/>
    </row>
    <row r="16" spans="1:14" x14ac:dyDescent="0.25">
      <c r="D16" s="7"/>
      <c r="E16" t="s">
        <v>267</v>
      </c>
      <c r="F16">
        <f ca="1">RANDBETWEEN(1,10)</f>
        <v>6</v>
      </c>
      <c r="G16" s="7"/>
      <c r="N16" t="s">
        <v>230</v>
      </c>
    </row>
    <row r="17" spans="4:14" x14ac:dyDescent="0.25">
      <c r="D17" s="7"/>
      <c r="E17" s="7"/>
      <c r="F17" s="7"/>
      <c r="G17" s="7"/>
    </row>
    <row r="18" spans="4:14" x14ac:dyDescent="0.25">
      <c r="E18" t="s">
        <v>268</v>
      </c>
      <c r="F18">
        <f ca="1">RANDBETWEEN(1,4)</f>
        <v>1</v>
      </c>
    </row>
    <row r="19" spans="4:14" x14ac:dyDescent="0.25">
      <c r="F19" t="s">
        <v>230</v>
      </c>
    </row>
    <row r="23" spans="4:14" x14ac:dyDescent="0.25">
      <c r="H23" t="s">
        <v>230</v>
      </c>
      <c r="N23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O30"/>
  <sheetViews>
    <sheetView topLeftCell="A7" workbookViewId="0">
      <selection activeCell="H26" sqref="H26"/>
    </sheetView>
  </sheetViews>
  <sheetFormatPr defaultRowHeight="15" x14ac:dyDescent="0.25"/>
  <cols>
    <col min="3" max="3" width="21.5703125" customWidth="1"/>
    <col min="4" max="4" width="18" customWidth="1"/>
    <col min="5" max="5" width="27.5703125" customWidth="1"/>
    <col min="6" max="6" width="19.5703125" customWidth="1"/>
    <col min="7" max="7" width="18.28515625" customWidth="1"/>
    <col min="8" max="8" width="22.28515625" customWidth="1"/>
    <col min="9" max="10" width="19.140625" customWidth="1"/>
  </cols>
  <sheetData>
    <row r="3" spans="3:15" x14ac:dyDescent="0.25">
      <c r="C3" s="8" t="s">
        <v>269</v>
      </c>
      <c r="D3" s="8"/>
      <c r="F3" s="8" t="s">
        <v>270</v>
      </c>
      <c r="G3" s="8"/>
      <c r="I3" s="8" t="s">
        <v>282</v>
      </c>
      <c r="J3" s="8"/>
      <c r="L3" s="8" t="s">
        <v>284</v>
      </c>
      <c r="N3" t="s">
        <v>303</v>
      </c>
      <c r="O3" s="8"/>
    </row>
    <row r="4" spans="3:15" x14ac:dyDescent="0.25">
      <c r="C4" t="s">
        <v>274</v>
      </c>
      <c r="D4">
        <v>4</v>
      </c>
      <c r="E4">
        <f t="shared" ref="E4:E16" ca="1" si="0">RAND()*D4</f>
        <v>0.2121741873963634</v>
      </c>
      <c r="F4" t="s">
        <v>271</v>
      </c>
      <c r="G4">
        <v>4</v>
      </c>
      <c r="H4">
        <f t="shared" ref="H4:H11" ca="1" si="1">RAND()*G4</f>
        <v>2.8365704416563222</v>
      </c>
      <c r="I4" t="s">
        <v>283</v>
      </c>
      <c r="J4">
        <v>5</v>
      </c>
      <c r="K4">
        <f ca="1">RAND()*J4</f>
        <v>0.65793755553478106</v>
      </c>
      <c r="L4" t="s">
        <v>285</v>
      </c>
      <c r="M4">
        <v>7</v>
      </c>
      <c r="N4">
        <f ca="1">RAND()*M4</f>
        <v>4.6390531659445671</v>
      </c>
    </row>
    <row r="5" spans="3:15" x14ac:dyDescent="0.25">
      <c r="C5" t="s">
        <v>275</v>
      </c>
      <c r="D5">
        <v>10</v>
      </c>
      <c r="E5">
        <f t="shared" ca="1" si="0"/>
        <v>7.4746326636158589</v>
      </c>
      <c r="F5" t="s">
        <v>272</v>
      </c>
      <c r="G5">
        <v>7</v>
      </c>
      <c r="H5">
        <f t="shared" ca="1" si="1"/>
        <v>2.9731916523188548</v>
      </c>
      <c r="I5" t="s">
        <v>296</v>
      </c>
      <c r="J5">
        <v>5</v>
      </c>
      <c r="K5">
        <f ca="1">RAND()*J5</f>
        <v>0.75044017990796241</v>
      </c>
      <c r="L5" t="s">
        <v>286</v>
      </c>
      <c r="M5">
        <v>3</v>
      </c>
      <c r="N5">
        <f ca="1">RAND()*M5</f>
        <v>1.3077867748022487</v>
      </c>
    </row>
    <row r="6" spans="3:15" x14ac:dyDescent="0.25">
      <c r="C6" t="s">
        <v>276</v>
      </c>
      <c r="D6">
        <v>10</v>
      </c>
      <c r="E6">
        <f t="shared" ca="1" si="0"/>
        <v>5.7328257495943769</v>
      </c>
      <c r="F6" t="s">
        <v>273</v>
      </c>
      <c r="G6">
        <v>7</v>
      </c>
      <c r="H6">
        <f t="shared" ca="1" si="1"/>
        <v>5.3246266296451044</v>
      </c>
    </row>
    <row r="7" spans="3:15" x14ac:dyDescent="0.25">
      <c r="C7" t="s">
        <v>277</v>
      </c>
      <c r="D7">
        <v>4</v>
      </c>
      <c r="E7">
        <f t="shared" ca="1" si="0"/>
        <v>2.4465578859836721</v>
      </c>
      <c r="F7" t="s">
        <v>289</v>
      </c>
      <c r="G7">
        <v>5</v>
      </c>
      <c r="H7">
        <f t="shared" ca="1" si="1"/>
        <v>0.90997685504171644</v>
      </c>
    </row>
    <row r="8" spans="3:15" x14ac:dyDescent="0.25">
      <c r="C8" t="s">
        <v>278</v>
      </c>
      <c r="D8">
        <v>6</v>
      </c>
      <c r="E8">
        <f t="shared" ca="1" si="0"/>
        <v>3.7977367351533697</v>
      </c>
      <c r="F8" t="s">
        <v>291</v>
      </c>
      <c r="G8">
        <v>6</v>
      </c>
      <c r="H8">
        <f t="shared" ca="1" si="1"/>
        <v>5.7354750604631279</v>
      </c>
    </row>
    <row r="9" spans="3:15" x14ac:dyDescent="0.25">
      <c r="C9" t="s">
        <v>279</v>
      </c>
      <c r="D9">
        <v>6</v>
      </c>
      <c r="E9">
        <f t="shared" ca="1" si="0"/>
        <v>1.8181290341583052</v>
      </c>
      <c r="F9" t="s">
        <v>292</v>
      </c>
      <c r="G9">
        <v>4</v>
      </c>
      <c r="H9">
        <f t="shared" ca="1" si="1"/>
        <v>2.798070150498118</v>
      </c>
    </row>
    <row r="10" spans="3:15" x14ac:dyDescent="0.25">
      <c r="C10" t="s">
        <v>280</v>
      </c>
      <c r="D10">
        <v>7</v>
      </c>
      <c r="E10">
        <f t="shared" ca="1" si="0"/>
        <v>2.8030691370038507</v>
      </c>
      <c r="F10" t="s">
        <v>288</v>
      </c>
      <c r="G10">
        <v>5</v>
      </c>
      <c r="H10">
        <f t="shared" ca="1" si="1"/>
        <v>3.5763856428083924</v>
      </c>
    </row>
    <row r="11" spans="3:15" x14ac:dyDescent="0.25">
      <c r="C11" t="s">
        <v>281</v>
      </c>
      <c r="D11">
        <v>5</v>
      </c>
      <c r="E11">
        <f t="shared" ca="1" si="0"/>
        <v>1.2408851930636555</v>
      </c>
      <c r="F11" t="s">
        <v>287</v>
      </c>
      <c r="G11">
        <v>3</v>
      </c>
      <c r="H11">
        <f t="shared" ca="1" si="1"/>
        <v>2.929950437254389</v>
      </c>
    </row>
    <row r="12" spans="3:15" x14ac:dyDescent="0.25">
      <c r="C12" t="s">
        <v>290</v>
      </c>
      <c r="D12">
        <v>3</v>
      </c>
      <c r="E12">
        <f t="shared" ca="1" si="0"/>
        <v>2.4394252532129692</v>
      </c>
    </row>
    <row r="13" spans="3:15" x14ac:dyDescent="0.25">
      <c r="C13" t="s">
        <v>293</v>
      </c>
      <c r="D13">
        <v>7</v>
      </c>
      <c r="E13">
        <f t="shared" ca="1" si="0"/>
        <v>4.3879695380164989</v>
      </c>
    </row>
    <row r="14" spans="3:15" x14ac:dyDescent="0.25">
      <c r="C14" t="s">
        <v>294</v>
      </c>
      <c r="D14">
        <v>5</v>
      </c>
      <c r="E14">
        <f t="shared" ca="1" si="0"/>
        <v>3.5331404432824471</v>
      </c>
    </row>
    <row r="15" spans="3:15" x14ac:dyDescent="0.25">
      <c r="C15" t="s">
        <v>295</v>
      </c>
      <c r="D15">
        <v>5</v>
      </c>
      <c r="E15">
        <f t="shared" ca="1" si="0"/>
        <v>1.949261928853812</v>
      </c>
    </row>
    <row r="16" spans="3:15" x14ac:dyDescent="0.25">
      <c r="C16" t="s">
        <v>311</v>
      </c>
      <c r="D16">
        <v>10</v>
      </c>
      <c r="E16">
        <f t="shared" ca="1" si="0"/>
        <v>0.53641261111981531</v>
      </c>
    </row>
    <row r="18" spans="1:12" x14ac:dyDescent="0.25">
      <c r="J18" t="s">
        <v>306</v>
      </c>
      <c r="L18">
        <f ca="1">RANDBETWEEN(1,7)</f>
        <v>4</v>
      </c>
    </row>
    <row r="19" spans="1:12" x14ac:dyDescent="0.25">
      <c r="I19" t="s">
        <v>302</v>
      </c>
      <c r="J19" t="s">
        <v>284</v>
      </c>
    </row>
    <row r="20" spans="1:12" x14ac:dyDescent="0.25">
      <c r="C20" t="s">
        <v>259</v>
      </c>
      <c r="D20" t="s">
        <v>261</v>
      </c>
      <c r="E20" t="s">
        <v>262</v>
      </c>
      <c r="F20" t="s">
        <v>297</v>
      </c>
      <c r="G20" t="s">
        <v>298</v>
      </c>
      <c r="J20" t="s">
        <v>307</v>
      </c>
    </row>
    <row r="21" spans="1:12" x14ac:dyDescent="0.25">
      <c r="A21">
        <v>9</v>
      </c>
      <c r="B21">
        <v>10</v>
      </c>
      <c r="C21" t="s">
        <v>301</v>
      </c>
      <c r="D21" t="s">
        <v>301</v>
      </c>
      <c r="E21" t="s">
        <v>301</v>
      </c>
      <c r="F21" t="s">
        <v>301</v>
      </c>
      <c r="G21" t="s">
        <v>301</v>
      </c>
      <c r="J21" t="s">
        <v>308</v>
      </c>
    </row>
    <row r="22" spans="1:12" x14ac:dyDescent="0.25">
      <c r="A22">
        <v>10</v>
      </c>
      <c r="B22">
        <v>11</v>
      </c>
      <c r="C22" s="7"/>
      <c r="D22" s="7"/>
      <c r="E22" s="7" t="s">
        <v>275</v>
      </c>
      <c r="F22" s="7" t="s">
        <v>305</v>
      </c>
      <c r="G22" s="7"/>
      <c r="J22" t="s">
        <v>309</v>
      </c>
    </row>
    <row r="23" spans="1:12" x14ac:dyDescent="0.25">
      <c r="A23">
        <v>11</v>
      </c>
      <c r="B23">
        <v>12</v>
      </c>
      <c r="C23" s="7"/>
      <c r="D23" s="7"/>
      <c r="E23" s="7" t="s">
        <v>289</v>
      </c>
      <c r="F23" s="7" t="s">
        <v>293</v>
      </c>
      <c r="G23" s="7"/>
    </row>
    <row r="24" spans="1:12" x14ac:dyDescent="0.25">
      <c r="A24">
        <v>12</v>
      </c>
      <c r="B24">
        <v>13</v>
      </c>
      <c r="C24" t="s">
        <v>300</v>
      </c>
      <c r="D24" t="s">
        <v>300</v>
      </c>
      <c r="E24" t="s">
        <v>300</v>
      </c>
      <c r="F24" t="s">
        <v>300</v>
      </c>
      <c r="G24" t="s">
        <v>300</v>
      </c>
    </row>
    <row r="25" spans="1:12" x14ac:dyDescent="0.25">
      <c r="A25">
        <v>13</v>
      </c>
      <c r="B25">
        <v>14</v>
      </c>
      <c r="C25" s="7"/>
      <c r="D25" s="7"/>
      <c r="E25" s="7" t="s">
        <v>312</v>
      </c>
      <c r="F25" s="7" t="s">
        <v>275</v>
      </c>
      <c r="G25" s="7"/>
    </row>
    <row r="26" spans="1:12" x14ac:dyDescent="0.25">
      <c r="A26">
        <v>14</v>
      </c>
      <c r="B26">
        <v>15</v>
      </c>
      <c r="C26" s="7"/>
      <c r="D26" s="7"/>
      <c r="E26" s="7" t="s">
        <v>279</v>
      </c>
      <c r="F26" s="7" t="s">
        <v>310</v>
      </c>
      <c r="G26" s="7"/>
    </row>
    <row r="27" spans="1:12" x14ac:dyDescent="0.25">
      <c r="A27">
        <v>15</v>
      </c>
      <c r="B27">
        <v>16</v>
      </c>
      <c r="C27" s="7"/>
      <c r="D27" s="7"/>
      <c r="E27" s="7" t="s">
        <v>280</v>
      </c>
      <c r="F27" s="7" t="s">
        <v>281</v>
      </c>
      <c r="G27" s="7"/>
    </row>
    <row r="28" spans="1:12" x14ac:dyDescent="0.25">
      <c r="A28">
        <v>16</v>
      </c>
      <c r="B28">
        <v>17</v>
      </c>
      <c r="C28" s="7"/>
      <c r="D28" s="7"/>
      <c r="E28" s="7" t="s">
        <v>271</v>
      </c>
      <c r="F28" s="7" t="s">
        <v>291</v>
      </c>
      <c r="G28" s="7"/>
    </row>
    <row r="29" spans="1:12" x14ac:dyDescent="0.25">
      <c r="A29">
        <v>17</v>
      </c>
      <c r="B29">
        <v>18</v>
      </c>
      <c r="C29" t="s">
        <v>299</v>
      </c>
      <c r="D29" t="s">
        <v>299</v>
      </c>
      <c r="E29" t="s">
        <v>299</v>
      </c>
      <c r="F29" t="s">
        <v>299</v>
      </c>
      <c r="G29" t="s">
        <v>299</v>
      </c>
    </row>
    <row r="30" spans="1:12" x14ac:dyDescent="0.25">
      <c r="A30">
        <v>18</v>
      </c>
      <c r="B30">
        <v>19.5</v>
      </c>
      <c r="C30" s="7"/>
      <c r="D30" s="7"/>
      <c r="E30" s="7" t="s">
        <v>313</v>
      </c>
      <c r="F30" s="7" t="s">
        <v>304</v>
      </c>
      <c r="G3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80B1-9D96-4F2F-9653-AECB16E57ED1}">
  <dimension ref="A2:C32"/>
  <sheetViews>
    <sheetView topLeftCell="C1" workbookViewId="0">
      <selection activeCell="E5" sqref="E5"/>
    </sheetView>
  </sheetViews>
  <sheetFormatPr defaultRowHeight="15" x14ac:dyDescent="0.25"/>
  <cols>
    <col min="1" max="1" width="32" hidden="1" customWidth="1"/>
    <col min="2" max="2" width="0" hidden="1" customWidth="1"/>
    <col min="3" max="3" width="40" customWidth="1"/>
  </cols>
  <sheetData>
    <row r="2" spans="1:3" x14ac:dyDescent="0.25">
      <c r="C2" t="s">
        <v>332</v>
      </c>
    </row>
    <row r="3" spans="1:3" x14ac:dyDescent="0.25">
      <c r="A3" s="5" t="s">
        <v>314</v>
      </c>
      <c r="B3">
        <f ca="1">RAND()</f>
        <v>0.6581733841220081</v>
      </c>
      <c r="C3" s="5" t="str" cm="1">
        <f t="array" aca="1" ref="C3" ca="1">INDEX($A$3:$A$19,RANK(B3,$B$3:$B$19))</f>
        <v xml:space="preserve">         a profunda fẹmoris </v>
      </c>
    </row>
    <row r="4" spans="1:3" x14ac:dyDescent="0.25">
      <c r="A4" s="5" t="s">
        <v>315</v>
      </c>
      <c r="B4">
        <f t="shared" ref="B4:B19" ca="1" si="0">RAND()</f>
        <v>0.99498275514263101</v>
      </c>
      <c r="C4" s="5" t="str" cm="1">
        <f t="array" aca="1" ref="C4" ca="1">INDEX($A$3:$A$19,RANK(B4,$B$3:$B$19))</f>
        <v xml:space="preserve">a ilịaca communis </v>
      </c>
    </row>
    <row r="5" spans="1:3" x14ac:dyDescent="0.25">
      <c r="A5" s="5" t="s">
        <v>316</v>
      </c>
      <c r="B5">
        <f t="shared" ca="1" si="0"/>
        <v>0.34266353992578669</v>
      </c>
      <c r="C5" s="5" t="str" cm="1">
        <f t="array" aca="1" ref="C5" ca="1">INDEX($A$3:$A$19,RANK(B5,$B$3:$B$19))</f>
        <v xml:space="preserve"> a fibularis (a peronea) </v>
      </c>
    </row>
    <row r="6" spans="1:3" x14ac:dyDescent="0.25">
      <c r="A6" s="5" t="s">
        <v>317</v>
      </c>
      <c r="B6">
        <f t="shared" ca="1" si="0"/>
        <v>0.83624390642906266</v>
      </c>
      <c r="C6" s="5" t="str" cm="1">
        <f t="array" aca="1" ref="C6" ca="1">INDEX($A$3:$A$19,RANK(B6,$B$3:$B$19))</f>
        <v xml:space="preserve">      a obturatoria  </v>
      </c>
    </row>
    <row r="7" spans="1:3" x14ac:dyDescent="0.25">
      <c r="A7" s="5" t="s">
        <v>318</v>
      </c>
      <c r="B7">
        <f t="shared" ca="1" si="0"/>
        <v>0.52899046916830972</v>
      </c>
      <c r="C7" s="5" t="str" cm="1">
        <f t="array" aca="1" ref="C7" ca="1">INDEX($A$3:$A$19,RANK(B7,$B$3:$B$19))</f>
        <v xml:space="preserve">   canalis adductorius </v>
      </c>
    </row>
    <row r="8" spans="1:3" x14ac:dyDescent="0.25">
      <c r="A8" s="5" t="s">
        <v>319</v>
      </c>
      <c r="B8">
        <f t="shared" ca="1" si="0"/>
        <v>0.41513456678380278</v>
      </c>
      <c r="C8" s="5" t="str" cm="1">
        <f t="array" aca="1" ref="C8" ca="1">INDEX($A$3:$A$19,RANK(B8,$B$3:$B$19))</f>
        <v xml:space="preserve">   a tibialis posterior YA </v>
      </c>
    </row>
    <row r="9" spans="1:3" x14ac:dyDescent="0.25">
      <c r="A9" s="5" t="s">
        <v>320</v>
      </c>
      <c r="B9">
        <f t="shared" ca="1" si="0"/>
        <v>2.2752468127084091E-2</v>
      </c>
      <c r="C9" s="5" t="str" cm="1">
        <f t="array" aca="1" ref="C9" ca="1">INDEX($A$3:$A$19,RANK(B9,$B$3:$B$19))</f>
        <v xml:space="preserve"> a arcuata</v>
      </c>
    </row>
    <row r="10" spans="1:3" x14ac:dyDescent="0.25">
      <c r="A10" s="5" t="s">
        <v>321</v>
      </c>
      <c r="B10">
        <f t="shared" ca="1" si="0"/>
        <v>0.19786638750796715</v>
      </c>
      <c r="C10" s="5" t="str" cm="1">
        <f t="array" aca="1" ref="C10" ca="1">INDEX($A$3:$A$19,RANK(B10,$B$3:$B$19))</f>
        <v xml:space="preserve">a tibialis anterior </v>
      </c>
    </row>
    <row r="11" spans="1:3" x14ac:dyDescent="0.25">
      <c r="A11" s="5" t="s">
        <v>322</v>
      </c>
      <c r="B11">
        <f t="shared" ca="1" si="0"/>
        <v>0.90783508147479863</v>
      </c>
      <c r="C11" s="5" t="str" cm="1">
        <f t="array" aca="1" ref="C11" ca="1">INDEX($A$3:$A$19,RANK(B11,$B$3:$B$19))</f>
        <v xml:space="preserve">   a ilịaca interna </v>
      </c>
    </row>
    <row r="12" spans="1:3" x14ac:dyDescent="0.25">
      <c r="A12" s="5" t="s">
        <v>323</v>
      </c>
      <c r="B12">
        <f t="shared" ca="1" si="0"/>
        <v>0.50040392218862917</v>
      </c>
      <c r="C12" s="5" t="str" cm="1">
        <f t="array" aca="1" ref="C12" ca="1">INDEX($A$3:$A$19,RANK(B12,$B$3:$B$19))</f>
        <v xml:space="preserve">   a poplịtea YA </v>
      </c>
    </row>
    <row r="13" spans="1:3" x14ac:dyDescent="0.25">
      <c r="A13" s="5" t="s">
        <v>324</v>
      </c>
      <c r="B13">
        <f t="shared" ca="1" si="0"/>
        <v>5.1222652228302468E-2</v>
      </c>
      <c r="C13" s="5" t="str" cm="1">
        <f t="array" aca="1" ref="C13" ca="1">INDEX($A$3:$A$19,RANK(B13,$B$3:$B$19))</f>
        <v xml:space="preserve">      a dorsalis pedis YA </v>
      </c>
    </row>
    <row r="14" spans="1:3" x14ac:dyDescent="0.25">
      <c r="A14" s="5" t="s">
        <v>325</v>
      </c>
      <c r="B14">
        <f t="shared" ca="1" si="0"/>
        <v>0.70453952802232633</v>
      </c>
      <c r="C14" s="5" t="str" cm="1">
        <f t="array" aca="1" ref="C14" ca="1">INDEX($A$3:$A$19,RANK(B14,$B$3:$B$19))</f>
        <v xml:space="preserve">         aa pudendae externae  </v>
      </c>
    </row>
    <row r="15" spans="1:3" x14ac:dyDescent="0.25">
      <c r="A15" s="5" t="s">
        <v>326</v>
      </c>
      <c r="B15">
        <f t="shared" ca="1" si="0"/>
        <v>0.82561619408963494</v>
      </c>
      <c r="C15" s="5" t="str" cm="1">
        <f t="array" aca="1" ref="C15" ca="1">INDEX($A$3:$A$19,RANK(B15,$B$3:$B$19))</f>
        <v xml:space="preserve"> a glutẹa inferior </v>
      </c>
    </row>
    <row r="16" spans="1:3" x14ac:dyDescent="0.25">
      <c r="A16" s="5" t="s">
        <v>327</v>
      </c>
      <c r="B16">
        <f t="shared" ca="1" si="0"/>
        <v>0.74781321669217304</v>
      </c>
      <c r="C16" s="5" t="str" cm="1">
        <f t="array" aca="1" ref="C16" ca="1">INDEX($A$3:$A$19,RANK(B16,$B$3:$B$19))</f>
        <v xml:space="preserve">      a femoralis YA </v>
      </c>
    </row>
    <row r="17" spans="1:3" x14ac:dyDescent="0.25">
      <c r="A17" s="5" t="s">
        <v>328</v>
      </c>
      <c r="B17">
        <f t="shared" ca="1" si="0"/>
        <v>0.85764470129292347</v>
      </c>
      <c r="C17" s="5" t="str" cm="1">
        <f t="array" aca="1" ref="C17" ca="1">INDEX($A$3:$A$19,RANK(B17,$B$3:$B$19))</f>
        <v xml:space="preserve">      a glutẹa superior </v>
      </c>
    </row>
    <row r="18" spans="1:3" x14ac:dyDescent="0.25">
      <c r="A18" s="5" t="s">
        <v>329</v>
      </c>
      <c r="B18">
        <f t="shared" ca="1" si="0"/>
        <v>0.6130865356493127</v>
      </c>
      <c r="C18" s="5" t="str" cm="1">
        <f t="array" aca="1" ref="C18" ca="1">INDEX($A$3:$A$19,RANK(B18,$B$3:$B$19))</f>
        <v xml:space="preserve">             a circumflexa fẹmoris lateralis et medialis </v>
      </c>
    </row>
    <row r="19" spans="1:3" x14ac:dyDescent="0.25">
      <c r="A19" s="5" t="s">
        <v>330</v>
      </c>
      <c r="B19">
        <f t="shared" ca="1" si="0"/>
        <v>0.79460717454154994</v>
      </c>
      <c r="C19" s="5" t="str" cm="1">
        <f t="array" aca="1" ref="C19" ca="1">INDEX($A$3:$A$19,RANK(B19,$B$3:$B$19))</f>
        <v xml:space="preserve">a ilịaca externa </v>
      </c>
    </row>
    <row r="32" spans="1:3" ht="19.5" x14ac:dyDescent="0.4">
      <c r="B32" s="1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8</vt:i4>
      </vt:variant>
      <vt:variant>
        <vt:lpstr>Diagram</vt:lpstr>
      </vt:variant>
      <vt:variant>
        <vt:i4>1</vt:i4>
      </vt:variant>
    </vt:vector>
  </HeadingPairs>
  <TitlesOfParts>
    <vt:vector size="9" baseType="lpstr">
      <vt:lpstr>9</vt:lpstr>
      <vt:lpstr>10</vt:lpstr>
      <vt:lpstr>11</vt:lpstr>
      <vt:lpstr>12-13</vt:lpstr>
      <vt:lpstr>Danslista</vt:lpstr>
      <vt:lpstr>Karaoke</vt:lpstr>
      <vt:lpstr>Englas schema</vt:lpstr>
      <vt:lpstr>Blad1</vt:lpstr>
      <vt:lpstr>Diagram1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</dc:creator>
  <cp:lastModifiedBy>Kristian Sundström</cp:lastModifiedBy>
  <dcterms:created xsi:type="dcterms:W3CDTF">2019-11-16T11:51:56Z</dcterms:created>
  <dcterms:modified xsi:type="dcterms:W3CDTF">2024-03-02T12:17:58Z</dcterms:modified>
</cp:coreProperties>
</file>